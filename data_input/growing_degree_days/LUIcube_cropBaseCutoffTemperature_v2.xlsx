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bhattarabhop_viriyaroj_aalto_fi/Documents/Documents/Doctoral/StudyCourses/WaterDigitization/input_datasets/growing_degree_days/"/>
    </mc:Choice>
  </mc:AlternateContent>
  <xr:revisionPtr revIDLastSave="453" documentId="8_{9F8A5ADD-46DC-6A47-AD5F-9D0257FF0C4C}" xr6:coauthVersionLast="47" xr6:coauthVersionMax="47" xr10:uidLastSave="{20899E25-0569-D849-B396-1497E70DAD4D}"/>
  <bookViews>
    <workbookView xWindow="1060" yWindow="680" windowWidth="33500" windowHeight="21660" activeTab="2" xr2:uid="{6C8EECD0-62AB-AC44-AE9B-2719C3620898}"/>
  </bookViews>
  <sheets>
    <sheet name="Crops" sheetId="3" r:id="rId1"/>
    <sheet name="CropCalculation" sheetId="1" r:id="rId2"/>
    <sheet name="OtherCro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11" i="3"/>
  <c r="B11" i="3"/>
  <c r="E151" i="2"/>
  <c r="D151" i="2"/>
  <c r="E109" i="2"/>
  <c r="D109" i="2"/>
  <c r="E46" i="2"/>
  <c r="D46" i="2"/>
  <c r="D74" i="2"/>
  <c r="E74" i="2"/>
  <c r="E32" i="2"/>
  <c r="D32" i="2"/>
  <c r="C10" i="1"/>
  <c r="B10" i="1"/>
  <c r="C20" i="1"/>
  <c r="B20" i="1"/>
</calcChain>
</file>

<file path=xl/sharedStrings.xml><?xml version="1.0" encoding="utf-8"?>
<sst xmlns="http://schemas.openxmlformats.org/spreadsheetml/2006/main" count="272" uniqueCount="252">
  <si>
    <r>
      <t>Banana (</t>
    </r>
    <r>
      <rPr>
        <i/>
        <sz val="14"/>
        <color rgb="FF1F1F1F"/>
        <rFont val="Georgia"/>
        <family val="1"/>
      </rPr>
      <t>Musa accuminata</t>
    </r>
    <r>
      <rPr>
        <sz val="14"/>
        <color rgb="FF1F1F1F"/>
        <rFont val="Georgia"/>
        <family val="1"/>
      </rPr>
      <t>)</t>
    </r>
  </si>
  <si>
    <r>
      <t>Barley (</t>
    </r>
    <r>
      <rPr>
        <i/>
        <sz val="14"/>
        <color rgb="FF1F1F1F"/>
        <rFont val="Georgia"/>
        <family val="1"/>
      </rPr>
      <t>Hordeum vulgare</t>
    </r>
    <r>
      <rPr>
        <sz val="14"/>
        <color rgb="FF1F1F1F"/>
        <rFont val="Georgia"/>
        <family val="1"/>
      </rPr>
      <t>)</t>
    </r>
  </si>
  <si>
    <r>
      <t>Bean (</t>
    </r>
    <r>
      <rPr>
        <i/>
        <sz val="14"/>
        <color rgb="FF1F1F1F"/>
        <rFont val="Georgia"/>
        <family val="1"/>
      </rPr>
      <t>Phaseolus vulgaris</t>
    </r>
    <r>
      <rPr>
        <sz val="14"/>
        <color rgb="FF1F1F1F"/>
        <rFont val="Georgia"/>
        <family val="1"/>
      </rPr>
      <t>)</t>
    </r>
  </si>
  <si>
    <r>
      <t>Cassava (</t>
    </r>
    <r>
      <rPr>
        <i/>
        <sz val="14"/>
        <color rgb="FF1F1F1F"/>
        <rFont val="Georgia"/>
        <family val="1"/>
      </rPr>
      <t>Manihot esculenta</t>
    </r>
    <r>
      <rPr>
        <sz val="14"/>
        <color rgb="FF1F1F1F"/>
        <rFont val="Georgia"/>
        <family val="1"/>
      </rPr>
      <t>)</t>
    </r>
  </si>
  <si>
    <r>
      <t>Cotton (</t>
    </r>
    <r>
      <rPr>
        <i/>
        <sz val="14"/>
        <color rgb="FF1F1F1F"/>
        <rFont val="Georgia"/>
        <family val="1"/>
      </rPr>
      <t>Gossypium hirsutum</t>
    </r>
    <r>
      <rPr>
        <sz val="14"/>
        <color rgb="FF1F1F1F"/>
        <rFont val="Georgia"/>
        <family val="1"/>
      </rPr>
      <t>)</t>
    </r>
  </si>
  <si>
    <r>
      <t>Groundnut (peanut) (</t>
    </r>
    <r>
      <rPr>
        <i/>
        <sz val="14"/>
        <color rgb="FF1F1F1F"/>
        <rFont val="Georgia"/>
        <family val="1"/>
      </rPr>
      <t>Arachis hypogaea</t>
    </r>
    <r>
      <rPr>
        <sz val="14"/>
        <color rgb="FF1F1F1F"/>
        <rFont val="Georgia"/>
        <family val="1"/>
      </rPr>
      <t>)</t>
    </r>
  </si>
  <si>
    <r>
      <t>Maize (</t>
    </r>
    <r>
      <rPr>
        <i/>
        <sz val="14"/>
        <color rgb="FF1F1F1F"/>
        <rFont val="Georgia"/>
        <family val="1"/>
      </rPr>
      <t>Zea mays</t>
    </r>
    <r>
      <rPr>
        <sz val="14"/>
        <color rgb="FF1F1F1F"/>
        <rFont val="Georgia"/>
        <family val="1"/>
      </rPr>
      <t>)</t>
    </r>
  </si>
  <si>
    <t>Millet (only have Pearl millet)</t>
  </si>
  <si>
    <r>
      <t>Potato (</t>
    </r>
    <r>
      <rPr>
        <i/>
        <sz val="14"/>
        <color rgb="FF1F1F1F"/>
        <rFont val="Georgia"/>
        <family val="1"/>
      </rPr>
      <t>Solanum tuberosum</t>
    </r>
    <r>
      <rPr>
        <sz val="14"/>
        <color rgb="FF1F1F1F"/>
        <rFont val="Georgia"/>
        <family val="1"/>
      </rPr>
      <t>)</t>
    </r>
  </si>
  <si>
    <r>
      <t>Rice (</t>
    </r>
    <r>
      <rPr>
        <i/>
        <sz val="14"/>
        <color rgb="FF1F1F1F"/>
        <rFont val="Georgia"/>
        <family val="1"/>
      </rPr>
      <t>Oryza sativa)</t>
    </r>
  </si>
  <si>
    <r>
      <t>Sorghum (</t>
    </r>
    <r>
      <rPr>
        <i/>
        <sz val="14"/>
        <color rgb="FF1F1F1F"/>
        <rFont val="Georgia"/>
        <family val="1"/>
      </rPr>
      <t>Sorghum bicolor</t>
    </r>
    <r>
      <rPr>
        <sz val="14"/>
        <color rgb="FF1F1F1F"/>
        <rFont val="Georgia"/>
        <family val="1"/>
      </rPr>
      <t>)</t>
    </r>
  </si>
  <si>
    <r>
      <t>Soybean (</t>
    </r>
    <r>
      <rPr>
        <i/>
        <sz val="14"/>
        <color rgb="FF1F1F1F"/>
        <rFont val="Georgia"/>
        <family val="1"/>
      </rPr>
      <t>Glycine max</t>
    </r>
    <r>
      <rPr>
        <sz val="14"/>
        <color rgb="FF1F1F1F"/>
        <rFont val="Georgia"/>
        <family val="1"/>
      </rPr>
      <t>)</t>
    </r>
  </si>
  <si>
    <r>
      <t>Sugar beet (</t>
    </r>
    <r>
      <rPr>
        <i/>
        <sz val="14"/>
        <color rgb="FF1F1F1F"/>
        <rFont val="Georgia"/>
        <family val="1"/>
      </rPr>
      <t>Beta vulgaris</t>
    </r>
    <r>
      <rPr>
        <sz val="14"/>
        <color rgb="FF1F1F1F"/>
        <rFont val="Georgia"/>
        <family val="1"/>
      </rPr>
      <t>)</t>
    </r>
  </si>
  <si>
    <r>
      <t>Sweet potato (</t>
    </r>
    <r>
      <rPr>
        <i/>
        <sz val="14"/>
        <color rgb="FF1F1F1F"/>
        <rFont val="Georgia"/>
        <family val="1"/>
      </rPr>
      <t>Ipomoea batatas</t>
    </r>
    <r>
      <rPr>
        <sz val="14"/>
        <color rgb="FF1F1F1F"/>
        <rFont val="Georgia"/>
        <family val="1"/>
      </rPr>
      <t>)</t>
    </r>
  </si>
  <si>
    <r>
      <t>Wheat, common (</t>
    </r>
    <r>
      <rPr>
        <i/>
        <sz val="14"/>
        <color rgb="FF1F1F1F"/>
        <rFont val="Georgia"/>
        <family val="1"/>
      </rPr>
      <t>Triticum aestivum</t>
    </r>
    <r>
      <rPr>
        <sz val="14"/>
        <color rgb="FF1F1F1F"/>
        <rFont val="Georgia"/>
        <family val="1"/>
      </rPr>
      <t>)</t>
    </r>
  </si>
  <si>
    <t>Crop classes with multiple crops</t>
  </si>
  <si>
    <t>Other fiber crops</t>
  </si>
  <si>
    <t>Crop code</t>
  </si>
  <si>
    <t>Crop name</t>
  </si>
  <si>
    <t>Other oil crops</t>
  </si>
  <si>
    <t>crop name</t>
  </si>
  <si>
    <t>Average</t>
  </si>
  <si>
    <t>Other pulses</t>
  </si>
  <si>
    <t>Rest of crops</t>
  </si>
  <si>
    <t>Flax fibre</t>
  </si>
  <si>
    <t>Hemp tow base Cannabis</t>
  </si>
  <si>
    <t>Bastfibre</t>
  </si>
  <si>
    <t>Vegetables</t>
  </si>
  <si>
    <t>VEGE</t>
  </si>
  <si>
    <t>TROF</t>
  </si>
  <si>
    <t>TEMF</t>
  </si>
  <si>
    <t>TOMA</t>
  </si>
  <si>
    <t>ONIO</t>
  </si>
  <si>
    <t>CITR</t>
  </si>
  <si>
    <r>
      <t>Flax (Linseed) (</t>
    </r>
    <r>
      <rPr>
        <i/>
        <sz val="14"/>
        <color rgb="FF1F1F1F"/>
        <rFont val="Georgia"/>
        <family val="1"/>
      </rPr>
      <t>Linum usitatissimum</t>
    </r>
    <r>
      <rPr>
        <sz val="14"/>
        <color rgb="FF1F1F1F"/>
        <rFont val="Georgia"/>
        <family val="1"/>
      </rPr>
      <t>)</t>
    </r>
  </si>
  <si>
    <t>None</t>
  </si>
  <si>
    <r>
      <t>Sisal (</t>
    </r>
    <r>
      <rPr>
        <i/>
        <sz val="14"/>
        <color rgb="FF1F1F1F"/>
        <rFont val="Georgia"/>
        <family val="1"/>
      </rPr>
      <t>Agave sisalana</t>
    </r>
    <r>
      <rPr>
        <sz val="14"/>
        <color rgb="FF1F1F1F"/>
        <rFont val="Georgia"/>
        <family val="1"/>
      </rPr>
      <t>)</t>
    </r>
  </si>
  <si>
    <r>
      <t>Yam, Taro (</t>
    </r>
    <r>
      <rPr>
        <i/>
        <sz val="14"/>
        <color rgb="FF1F1F1F"/>
        <rFont val="Georgia"/>
        <family val="1"/>
      </rPr>
      <t>Colocasia esculenta</t>
    </r>
    <r>
      <rPr>
        <sz val="14"/>
        <color rgb="FF1F1F1F"/>
        <rFont val="Georgia"/>
        <family val="1"/>
      </rPr>
      <t>)</t>
    </r>
  </si>
  <si>
    <r>
      <t>Sweet potato (</t>
    </r>
    <r>
      <rPr>
        <i/>
        <sz val="14"/>
        <color rgb="FF1F1F1F"/>
        <rFont val="Georgia"/>
        <family val="1"/>
      </rPr>
      <t>Ipomoea batatas</t>
    </r>
    <r>
      <rPr>
        <sz val="14"/>
        <color rgb="FF1F1F1F"/>
        <rFont val="Georgia"/>
        <family val="1"/>
      </rPr>
      <t>) / Yam, Taro (Colocasia esculenta)</t>
    </r>
  </si>
  <si>
    <t>Vegetables / Fruits</t>
  </si>
  <si>
    <r>
      <t>Coffee (</t>
    </r>
    <r>
      <rPr>
        <i/>
        <sz val="14"/>
        <color rgb="FF1F1F1F"/>
        <rFont val="Georgia"/>
        <family val="1"/>
      </rPr>
      <t>Coffea arabica</t>
    </r>
    <r>
      <rPr>
        <sz val="14"/>
        <color rgb="FF1F1F1F"/>
        <rFont val="Georgia"/>
        <family val="1"/>
      </rPr>
      <t>) &lt;- only have arabica (Let's use this for both since it doesn't seem to be that different</t>
    </r>
  </si>
  <si>
    <t>Seems to have the same value for Pearl Millet with Small Millet, so I should be fine with using these two</t>
  </si>
  <si>
    <t>I used the average of Flax crop and the Agave crop. I did not include Sisal Agave because in Peredes et al. they only have Agave so I want to weight it equally</t>
  </si>
  <si>
    <t>Olives</t>
  </si>
  <si>
    <t>Mustard Seed</t>
  </si>
  <si>
    <t>Tung nuts</t>
  </si>
  <si>
    <t>Jojoba seed</t>
  </si>
  <si>
    <t>Safflower seed</t>
  </si>
  <si>
    <t>Poppy seed</t>
  </si>
  <si>
    <t>Melonseed</t>
  </si>
  <si>
    <t>Tallowtree seed</t>
  </si>
  <si>
    <t>Kapok fruit</t>
  </si>
  <si>
    <t>Linseed</t>
  </si>
  <si>
    <t>Oilseeds</t>
  </si>
  <si>
    <t>Hempseed</t>
  </si>
  <si>
    <t>Olive (Olea europaea)</t>
  </si>
  <si>
    <t>Mustard (Brassica juncea)</t>
  </si>
  <si>
    <t>afflower (Carthamus tinctorius)</t>
  </si>
  <si>
    <t>Castorbean (Ricinus communis)</t>
  </si>
  <si>
    <t>Flax (Linseed) (Linum usitatissimum)</t>
  </si>
  <si>
    <t>I used the average of 5 crops in the oil crops and round up to 0.5 decimal</t>
  </si>
  <si>
    <t>Bambara beans</t>
  </si>
  <si>
    <t>Lupins</t>
  </si>
  <si>
    <t>Pulses</t>
  </si>
  <si>
    <t>Chick peas</t>
  </si>
  <si>
    <t>Pigeon peas</t>
  </si>
  <si>
    <t>Chickpea (garbanzo) (Cicer arietinum)</t>
  </si>
  <si>
    <t>Cowpea (Vigna unguiculata)</t>
  </si>
  <si>
    <t>Lentil (Lens culinaris)</t>
  </si>
  <si>
    <t>Pea (Pisum sativum)</t>
  </si>
  <si>
    <t>Vetch</t>
  </si>
  <si>
    <t>Common vetch (Vicia sativa)</t>
  </si>
  <si>
    <t>Brazil nuts</t>
  </si>
  <si>
    <t>Cashew nuts</t>
  </si>
  <si>
    <t>Chestnut</t>
  </si>
  <si>
    <t>Almonds</t>
  </si>
  <si>
    <t>Walnuts</t>
  </si>
  <si>
    <t>Pistachios</t>
  </si>
  <si>
    <t>Kola nuts</t>
  </si>
  <si>
    <t>Areca nuts</t>
  </si>
  <si>
    <t>Nuts</t>
  </si>
  <si>
    <t>Pepper</t>
  </si>
  <si>
    <t>Chillies and pepper</t>
  </si>
  <si>
    <t>Vanilla</t>
  </si>
  <si>
    <t>Cinnamon</t>
  </si>
  <si>
    <t>Cloves</t>
  </si>
  <si>
    <t>Ginger</t>
  </si>
  <si>
    <t>Spices</t>
  </si>
  <si>
    <t>Sugar crops -&gt; sugar maple, sugar sorghum, sugar palm</t>
  </si>
  <si>
    <t>Almond (Prunus dulcis)</t>
  </si>
  <si>
    <t>Walnut (Juglans regia)</t>
  </si>
  <si>
    <t>Pistachio (Pistacia vera)</t>
  </si>
  <si>
    <t>Hop (Humulus lupulus)</t>
  </si>
  <si>
    <t>Black pepper (Piper nigrum)</t>
  </si>
  <si>
    <t>Bell &amp; Chili pepper (Capsicum annuum)</t>
  </si>
  <si>
    <t>Coriander (Coriandrum sativum)</t>
  </si>
  <si>
    <t>Saffron (Crocus sativus)</t>
  </si>
  <si>
    <t>Mint (Mentha spicata)</t>
  </si>
  <si>
    <t>I used the average of 9 crops to calculate the GDD. There are multiple subgroup of the crops in the rest of crops and I used one of the crops and the value of those, should be fine</t>
  </si>
  <si>
    <t>Cabbages / Other brassicas</t>
  </si>
  <si>
    <t>Artichokes</t>
  </si>
  <si>
    <t>Asparagus</t>
  </si>
  <si>
    <t>Spinach</t>
  </si>
  <si>
    <t>Cassava leaves</t>
  </si>
  <si>
    <t>Cauliflowers and broccoli</t>
  </si>
  <si>
    <t>Pumpkins</t>
  </si>
  <si>
    <t>Cucumbers</t>
  </si>
  <si>
    <t>Eggplants</t>
  </si>
  <si>
    <t>Jute</t>
  </si>
  <si>
    <t>Ramie</t>
  </si>
  <si>
    <t>Sisal</t>
  </si>
  <si>
    <t xml:space="preserve">Agave fibres nes </t>
  </si>
  <si>
    <t>Abaca manila hemp</t>
  </si>
  <si>
    <t>Coir</t>
  </si>
  <si>
    <t>Fibre crops nes</t>
  </si>
  <si>
    <t>Karite Nuts (Sheanuts)</t>
  </si>
  <si>
    <t>Castor Beans</t>
  </si>
  <si>
    <t>Broad beans, dry</t>
  </si>
  <si>
    <t>Peas (field peas), dry</t>
  </si>
  <si>
    <t>Cow peas, dry</t>
  </si>
  <si>
    <t>Lentils, dry</t>
  </si>
  <si>
    <t>Hazelnuts, in shell</t>
  </si>
  <si>
    <t>Mate</t>
  </si>
  <si>
    <t>Hops (fresh and dried)</t>
  </si>
  <si>
    <t>Pimento</t>
  </si>
  <si>
    <t>Nutmeg, mace, cardamoms</t>
  </si>
  <si>
    <t>Anise, badian, fennel</t>
  </si>
  <si>
    <t>Peppermint, Spearmint</t>
  </si>
  <si>
    <t>Pyrethrum, dried flowers</t>
  </si>
  <si>
    <t>Leeks and other alliaceous vegetables</t>
  </si>
  <si>
    <t>Beans, green</t>
  </si>
  <si>
    <t>Bean (Phaseolus vulgaris)</t>
  </si>
  <si>
    <t>Peas, green</t>
  </si>
  <si>
    <t>Broad beans, green</t>
  </si>
  <si>
    <t>String beans</t>
  </si>
  <si>
    <t>Carrot</t>
  </si>
  <si>
    <t>Okra</t>
  </si>
  <si>
    <t>Green corn (Maize)</t>
  </si>
  <si>
    <t>Mushrooms</t>
  </si>
  <si>
    <t>Chicory roots</t>
  </si>
  <si>
    <t>Carobs</t>
  </si>
  <si>
    <t>Vegatables, mix</t>
  </si>
  <si>
    <t>Watermelons</t>
  </si>
  <si>
    <t>Melons, Cantaloupes</t>
  </si>
  <si>
    <t>Figs</t>
  </si>
  <si>
    <t>Mangoes (mangosteen and guavas</t>
  </si>
  <si>
    <t>Avocados</t>
  </si>
  <si>
    <t>Pineapples (fresh)</t>
  </si>
  <si>
    <t>Dates</t>
  </si>
  <si>
    <t>Persimmons</t>
  </si>
  <si>
    <t>Cashewapple</t>
  </si>
  <si>
    <t>Papayas</t>
  </si>
  <si>
    <t>Fruit, tropical mix</t>
  </si>
  <si>
    <t>Apples</t>
  </si>
  <si>
    <t>Pears</t>
  </si>
  <si>
    <t>Quinces</t>
  </si>
  <si>
    <t>Apricots</t>
  </si>
  <si>
    <t>Sour cherries</t>
  </si>
  <si>
    <t>Cherries</t>
  </si>
  <si>
    <t>Peaches and nectarines</t>
  </si>
  <si>
    <t>Plums</t>
  </si>
  <si>
    <t>Stone fruit, mix</t>
  </si>
  <si>
    <t>Pome fruit, mix</t>
  </si>
  <si>
    <t>Strawberries</t>
  </si>
  <si>
    <t>Raspberries</t>
  </si>
  <si>
    <t>Gooseberries</t>
  </si>
  <si>
    <t>Currants</t>
  </si>
  <si>
    <t>Blueberries</t>
  </si>
  <si>
    <t>Cranberries</t>
  </si>
  <si>
    <t>Berries, mix</t>
  </si>
  <si>
    <t>Grapes</t>
  </si>
  <si>
    <t>Fruit, subtropical mix</t>
  </si>
  <si>
    <t>Tomatoes, fresh</t>
  </si>
  <si>
    <t>Onions, shallots (green)</t>
  </si>
  <si>
    <t>Onions, dry</t>
  </si>
  <si>
    <t>Oranges</t>
  </si>
  <si>
    <t>Tangerines, mandarins, clementines, satsumas</t>
  </si>
  <si>
    <t>Lemons and limes</t>
  </si>
  <si>
    <t>Citrus fruit mix</t>
  </si>
  <si>
    <t>Carrots (Daucus carota)</t>
  </si>
  <si>
    <t>Okra (Abelmoschus esculentus)</t>
  </si>
  <si>
    <t>Maize (Zea mays)</t>
  </si>
  <si>
    <t>Watermelon (Citrullus lanatus)</t>
  </si>
  <si>
    <t>Melon, cantaloupe (Cucumis melo)</t>
  </si>
  <si>
    <t>Mango (Mangifera indica), Guava (Psidium guajava)</t>
  </si>
  <si>
    <t>Avocado (Persea americana)</t>
  </si>
  <si>
    <t>Pineapple (Ananas comosus)</t>
  </si>
  <si>
    <t>Date palm (Phoenix dactylifera)</t>
  </si>
  <si>
    <t>Papaya (Carica papaya)</t>
  </si>
  <si>
    <t>Apple (Malus domestica)</t>
  </si>
  <si>
    <t>Pear (Pyrus communis)</t>
  </si>
  <si>
    <t>Apricot (Prunus armeniaca)</t>
  </si>
  <si>
    <t>Cherry (Prunus avium)</t>
  </si>
  <si>
    <t>Peach and nectarine (Prunus persica)</t>
  </si>
  <si>
    <t>Plum (P. domestica and P. salicina)</t>
  </si>
  <si>
    <t>Strawberries (Fragaria × ananassa)</t>
  </si>
  <si>
    <t>Wine and table grapes (Vitis vinifera)</t>
  </si>
  <si>
    <t>Tomato (Solanum lycopersicum)</t>
  </si>
  <si>
    <t>Onions (Allium cepa)</t>
  </si>
  <si>
    <t>Citrus (Citrus sp.)</t>
  </si>
  <si>
    <t>Lemon balm (Melissa officinalis)</t>
  </si>
  <si>
    <t>Grapefruit and pomelo</t>
  </si>
  <si>
    <t>I used the average of 25 crops in the vegetables and the fruits section. There are some vegetables that have the same name with other crop class, but I use it anyway for consistency. This is because there are some vegetables that have different code and categorised into different classes when they are fresh or dried</t>
  </si>
  <si>
    <t>crop</t>
  </si>
  <si>
    <t>banana/plantain</t>
  </si>
  <si>
    <t>barley</t>
  </si>
  <si>
    <t>bean</t>
  </si>
  <si>
    <t>cassava</t>
  </si>
  <si>
    <t>coffee</t>
  </si>
  <si>
    <t>cotton</t>
  </si>
  <si>
    <t>groundnut</t>
  </si>
  <si>
    <t>maize</t>
  </si>
  <si>
    <t>millet</t>
  </si>
  <si>
    <t>other fiber crops</t>
  </si>
  <si>
    <t>other oil crops</t>
  </si>
  <si>
    <t>other pulses</t>
  </si>
  <si>
    <t>potato</t>
  </si>
  <si>
    <t>rest of crops</t>
  </si>
  <si>
    <t>rice</t>
  </si>
  <si>
    <t>sorghum</t>
  </si>
  <si>
    <t>soybean</t>
  </si>
  <si>
    <t>sugar beet</t>
  </si>
  <si>
    <t>sugarcane</t>
  </si>
  <si>
    <t>sweet potato and yam</t>
  </si>
  <si>
    <t>vegetables / fruits</t>
  </si>
  <si>
    <t>wheat</t>
  </si>
  <si>
    <t>Sugar cane (Saccharum officinarum)</t>
  </si>
  <si>
    <t>BANP</t>
  </si>
  <si>
    <t>BARL</t>
  </si>
  <si>
    <t>BEAN</t>
  </si>
  <si>
    <t>CASS</t>
  </si>
  <si>
    <t>COFF</t>
  </si>
  <si>
    <t>COTT</t>
  </si>
  <si>
    <t>GROU</t>
  </si>
  <si>
    <t>MAIZ</t>
  </si>
  <si>
    <t>MILL</t>
  </si>
  <si>
    <t>OFIB</t>
  </si>
  <si>
    <t>OOIL</t>
  </si>
  <si>
    <t>OPUL</t>
  </si>
  <si>
    <t>POTA</t>
  </si>
  <si>
    <t>REST</t>
  </si>
  <si>
    <t>RICE</t>
  </si>
  <si>
    <t>SORG</t>
  </si>
  <si>
    <t>SOYB</t>
  </si>
  <si>
    <t>SUGB</t>
  </si>
  <si>
    <t>SUGC</t>
  </si>
  <si>
    <t>SWPY</t>
  </si>
  <si>
    <t>VEFR</t>
  </si>
  <si>
    <t>WHEA</t>
  </si>
  <si>
    <t>crop_code</t>
  </si>
  <si>
    <t>Tbase</t>
  </si>
  <si>
    <t>Tcutoff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</si>
</sst>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1F1F1F"/>
      <name val="Georgia"/>
      <family val="1"/>
    </font>
    <font>
      <i/>
      <sz val="14"/>
      <color rgb="FF1F1F1F"/>
      <name val="Georgia"/>
      <family val="1"/>
    </font>
    <font>
      <sz val="14"/>
      <color theme="1"/>
      <name val="Georgia"/>
      <family val="1"/>
    </font>
    <font>
      <sz val="12"/>
      <color rgb="FF1F1F1F"/>
      <name val="Aptos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7C75-DC2E-1A42-BBEF-57C3D8B5F2AD}">
  <dimension ref="A1:D23"/>
  <sheetViews>
    <sheetView zoomScale="140" zoomScaleNormal="140" workbookViewId="0">
      <selection activeCell="F21" sqref="F21"/>
    </sheetView>
  </sheetViews>
  <sheetFormatPr baseColWidth="10" defaultRowHeight="16" x14ac:dyDescent="0.2"/>
  <cols>
    <col min="1" max="1" width="18.83203125" bestFit="1" customWidth="1"/>
  </cols>
  <sheetData>
    <row r="1" spans="1:4" x14ac:dyDescent="0.2">
      <c r="A1" t="s">
        <v>203</v>
      </c>
      <c r="B1" t="s">
        <v>250</v>
      </c>
      <c r="C1" t="s">
        <v>251</v>
      </c>
      <c r="D1" t="s">
        <v>249</v>
      </c>
    </row>
    <row r="2" spans="1:4" x14ac:dyDescent="0.2">
      <c r="A2" t="s">
        <v>204</v>
      </c>
      <c r="B2" s="3">
        <v>14</v>
      </c>
      <c r="C2" s="3">
        <v>37</v>
      </c>
      <c r="D2" t="s">
        <v>227</v>
      </c>
    </row>
    <row r="3" spans="1:4" x14ac:dyDescent="0.2">
      <c r="A3" t="s">
        <v>205</v>
      </c>
      <c r="B3" s="3">
        <v>0</v>
      </c>
      <c r="C3" s="3">
        <v>30</v>
      </c>
      <c r="D3" t="s">
        <v>228</v>
      </c>
    </row>
    <row r="4" spans="1:4" x14ac:dyDescent="0.2">
      <c r="A4" t="s">
        <v>206</v>
      </c>
      <c r="B4" s="3">
        <v>10</v>
      </c>
      <c r="C4" s="3">
        <v>32</v>
      </c>
      <c r="D4" t="s">
        <v>229</v>
      </c>
    </row>
    <row r="5" spans="1:4" x14ac:dyDescent="0.2">
      <c r="A5" t="s">
        <v>207</v>
      </c>
      <c r="B5" s="3">
        <v>10</v>
      </c>
      <c r="C5" s="3">
        <v>40</v>
      </c>
      <c r="D5" t="s">
        <v>230</v>
      </c>
    </row>
    <row r="6" spans="1:4" x14ac:dyDescent="0.2">
      <c r="A6" t="s">
        <v>208</v>
      </c>
      <c r="B6" s="3">
        <v>10</v>
      </c>
      <c r="C6" s="3">
        <v>32</v>
      </c>
      <c r="D6" t="s">
        <v>231</v>
      </c>
    </row>
    <row r="7" spans="1:4" x14ac:dyDescent="0.2">
      <c r="A7" t="s">
        <v>209</v>
      </c>
      <c r="B7" s="3">
        <v>12.5</v>
      </c>
      <c r="C7" s="3">
        <v>35</v>
      </c>
      <c r="D7" t="s">
        <v>232</v>
      </c>
    </row>
    <row r="8" spans="1:4" x14ac:dyDescent="0.2">
      <c r="A8" t="s">
        <v>210</v>
      </c>
      <c r="B8" s="3">
        <v>10</v>
      </c>
      <c r="C8" s="3">
        <v>35</v>
      </c>
      <c r="D8" t="s">
        <v>233</v>
      </c>
    </row>
    <row r="9" spans="1:4" x14ac:dyDescent="0.2">
      <c r="A9" t="s">
        <v>211</v>
      </c>
      <c r="B9" s="3">
        <v>10</v>
      </c>
      <c r="C9" s="3">
        <v>32</v>
      </c>
      <c r="D9" t="s">
        <v>234</v>
      </c>
    </row>
    <row r="10" spans="1:4" x14ac:dyDescent="0.2">
      <c r="A10" t="s">
        <v>212</v>
      </c>
      <c r="B10" s="3">
        <v>10</v>
      </c>
      <c r="C10" s="3">
        <v>40</v>
      </c>
      <c r="D10" t="s">
        <v>235</v>
      </c>
    </row>
    <row r="11" spans="1:4" x14ac:dyDescent="0.2">
      <c r="A11" t="s">
        <v>213</v>
      </c>
      <c r="B11" s="3">
        <f>(10+0)/2</f>
        <v>5</v>
      </c>
      <c r="C11" s="3">
        <f>(36+35)/2</f>
        <v>35.5</v>
      </c>
      <c r="D11" t="s">
        <v>236</v>
      </c>
    </row>
    <row r="12" spans="1:4" x14ac:dyDescent="0.2">
      <c r="A12" t="s">
        <v>214</v>
      </c>
      <c r="B12" s="3">
        <v>5.5</v>
      </c>
      <c r="C12" s="3">
        <v>35</v>
      </c>
      <c r="D12" t="s">
        <v>237</v>
      </c>
    </row>
    <row r="13" spans="1:4" x14ac:dyDescent="0.2">
      <c r="A13" t="s">
        <v>215</v>
      </c>
      <c r="B13" s="3">
        <v>4</v>
      </c>
      <c r="C13" s="3">
        <v>33</v>
      </c>
      <c r="D13" t="s">
        <v>238</v>
      </c>
    </row>
    <row r="14" spans="1:4" x14ac:dyDescent="0.2">
      <c r="A14" t="s">
        <v>216</v>
      </c>
      <c r="B14" s="3">
        <v>2</v>
      </c>
      <c r="C14" s="3">
        <v>30</v>
      </c>
      <c r="D14" t="s">
        <v>239</v>
      </c>
    </row>
    <row r="15" spans="1:4" x14ac:dyDescent="0.2">
      <c r="A15" t="s">
        <v>217</v>
      </c>
      <c r="B15" s="3">
        <v>6</v>
      </c>
      <c r="C15" s="3">
        <v>33</v>
      </c>
      <c r="D15" t="s">
        <v>240</v>
      </c>
    </row>
    <row r="16" spans="1:4" x14ac:dyDescent="0.2">
      <c r="A16" t="s">
        <v>218</v>
      </c>
      <c r="B16" s="3">
        <v>12</v>
      </c>
      <c r="C16" s="3">
        <v>35</v>
      </c>
      <c r="D16" t="s">
        <v>241</v>
      </c>
    </row>
    <row r="17" spans="1:4" x14ac:dyDescent="0.2">
      <c r="A17" t="s">
        <v>219</v>
      </c>
      <c r="B17" s="3">
        <v>10</v>
      </c>
      <c r="C17" s="3">
        <v>30</v>
      </c>
      <c r="D17" t="s">
        <v>242</v>
      </c>
    </row>
    <row r="18" spans="1:4" x14ac:dyDescent="0.2">
      <c r="A18" t="s">
        <v>220</v>
      </c>
      <c r="B18" s="3">
        <v>10</v>
      </c>
      <c r="C18" s="3">
        <v>40</v>
      </c>
      <c r="D18" t="s">
        <v>243</v>
      </c>
    </row>
    <row r="19" spans="1:4" x14ac:dyDescent="0.2">
      <c r="A19" t="s">
        <v>221</v>
      </c>
      <c r="B19" s="3">
        <v>5</v>
      </c>
      <c r="C19" s="3">
        <v>30</v>
      </c>
      <c r="D19" t="s">
        <v>244</v>
      </c>
    </row>
    <row r="20" spans="1:4" x14ac:dyDescent="0.2">
      <c r="A20" t="s">
        <v>222</v>
      </c>
      <c r="B20" s="3">
        <v>10</v>
      </c>
      <c r="C20" s="3">
        <v>45</v>
      </c>
      <c r="D20" t="s">
        <v>245</v>
      </c>
    </row>
    <row r="21" spans="1:4" x14ac:dyDescent="0.2">
      <c r="A21" t="s">
        <v>223</v>
      </c>
      <c r="B21" s="4">
        <f>(12+10)/2</f>
        <v>11</v>
      </c>
      <c r="C21" s="4">
        <f>(30+35)/2</f>
        <v>32.5</v>
      </c>
      <c r="D21" t="s">
        <v>246</v>
      </c>
    </row>
    <row r="22" spans="1:4" x14ac:dyDescent="0.2">
      <c r="A22" t="s">
        <v>224</v>
      </c>
      <c r="B22" s="4">
        <v>8</v>
      </c>
      <c r="C22" s="4">
        <v>32</v>
      </c>
      <c r="D22" t="s">
        <v>247</v>
      </c>
    </row>
    <row r="23" spans="1:4" x14ac:dyDescent="0.2">
      <c r="A23" t="s">
        <v>225</v>
      </c>
      <c r="B23" s="3">
        <v>0</v>
      </c>
      <c r="C23" s="3">
        <v>35</v>
      </c>
      <c r="D23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B864-A67C-584F-924B-170B76DD3CD6}">
  <dimension ref="A1:I22"/>
  <sheetViews>
    <sheetView zoomScale="157" zoomScaleNormal="157" workbookViewId="0">
      <selection activeCell="B1" sqref="B1:C22"/>
    </sheetView>
  </sheetViews>
  <sheetFormatPr baseColWidth="10" defaultRowHeight="16" x14ac:dyDescent="0.2"/>
  <cols>
    <col min="1" max="1" width="115.83203125" bestFit="1" customWidth="1"/>
    <col min="4" max="4" width="36.5" customWidth="1"/>
    <col min="7" max="7" width="36" bestFit="1" customWidth="1"/>
  </cols>
  <sheetData>
    <row r="1" spans="1:4" ht="18" x14ac:dyDescent="0.2">
      <c r="A1" s="1" t="s">
        <v>0</v>
      </c>
      <c r="B1" s="1">
        <v>14</v>
      </c>
      <c r="C1" s="1">
        <v>37</v>
      </c>
    </row>
    <row r="2" spans="1:4" ht="18" x14ac:dyDescent="0.2">
      <c r="A2" s="1" t="s">
        <v>1</v>
      </c>
      <c r="B2" s="1">
        <v>0</v>
      </c>
      <c r="C2" s="1">
        <v>30</v>
      </c>
    </row>
    <row r="3" spans="1:4" ht="18" x14ac:dyDescent="0.2">
      <c r="A3" s="1" t="s">
        <v>2</v>
      </c>
      <c r="B3" s="1">
        <v>10</v>
      </c>
      <c r="C3" s="1">
        <v>32</v>
      </c>
    </row>
    <row r="4" spans="1:4" ht="18" x14ac:dyDescent="0.2">
      <c r="A4" s="1" t="s">
        <v>3</v>
      </c>
      <c r="B4" s="1">
        <v>10</v>
      </c>
      <c r="C4" s="1">
        <v>40</v>
      </c>
    </row>
    <row r="5" spans="1:4" ht="18" x14ac:dyDescent="0.2">
      <c r="A5" s="1" t="s">
        <v>40</v>
      </c>
      <c r="B5" s="1">
        <v>10</v>
      </c>
      <c r="C5" s="1">
        <v>32</v>
      </c>
    </row>
    <row r="6" spans="1:4" ht="18" x14ac:dyDescent="0.2">
      <c r="A6" s="1" t="s">
        <v>4</v>
      </c>
      <c r="B6" s="1">
        <v>12.5</v>
      </c>
      <c r="C6" s="1">
        <v>35</v>
      </c>
    </row>
    <row r="7" spans="1:4" ht="18" x14ac:dyDescent="0.2">
      <c r="A7" s="1" t="s">
        <v>5</v>
      </c>
      <c r="B7" s="1">
        <v>10</v>
      </c>
      <c r="C7" s="1">
        <v>35</v>
      </c>
    </row>
    <row r="8" spans="1:4" ht="18" x14ac:dyDescent="0.2">
      <c r="A8" s="1" t="s">
        <v>6</v>
      </c>
      <c r="B8" s="1">
        <v>10</v>
      </c>
      <c r="C8" s="1">
        <v>32</v>
      </c>
    </row>
    <row r="9" spans="1:4" ht="18" x14ac:dyDescent="0.2">
      <c r="A9" s="1" t="s">
        <v>7</v>
      </c>
      <c r="B9" s="1">
        <v>10</v>
      </c>
      <c r="C9" s="1">
        <v>40</v>
      </c>
      <c r="D9" t="s">
        <v>41</v>
      </c>
    </row>
    <row r="10" spans="1:4" ht="18" x14ac:dyDescent="0.2">
      <c r="A10" s="1" t="s">
        <v>16</v>
      </c>
      <c r="B10" s="1">
        <f>(10+0)/2</f>
        <v>5</v>
      </c>
      <c r="C10" s="1">
        <f>(36+35)/2</f>
        <v>35.5</v>
      </c>
      <c r="D10" t="s">
        <v>42</v>
      </c>
    </row>
    <row r="11" spans="1:4" ht="18" x14ac:dyDescent="0.2">
      <c r="A11" s="1" t="s">
        <v>19</v>
      </c>
      <c r="B11" s="1">
        <v>5.5</v>
      </c>
      <c r="C11" s="1">
        <v>35</v>
      </c>
      <c r="D11" t="s">
        <v>60</v>
      </c>
    </row>
    <row r="12" spans="1:4" ht="18" x14ac:dyDescent="0.2">
      <c r="A12" s="1" t="s">
        <v>22</v>
      </c>
      <c r="B12" s="1">
        <v>4</v>
      </c>
      <c r="C12" s="1">
        <v>33</v>
      </c>
    </row>
    <row r="13" spans="1:4" ht="18" x14ac:dyDescent="0.2">
      <c r="A13" s="1" t="s">
        <v>8</v>
      </c>
      <c r="B13" s="1">
        <v>2</v>
      </c>
      <c r="C13" s="1">
        <v>30</v>
      </c>
    </row>
    <row r="14" spans="1:4" ht="18" x14ac:dyDescent="0.2">
      <c r="A14" s="1" t="s">
        <v>23</v>
      </c>
      <c r="B14" s="1">
        <v>6</v>
      </c>
      <c r="C14" s="1">
        <v>33</v>
      </c>
      <c r="D14" t="s">
        <v>98</v>
      </c>
    </row>
    <row r="15" spans="1:4" ht="18" x14ac:dyDescent="0.2">
      <c r="A15" s="1" t="s">
        <v>9</v>
      </c>
      <c r="B15" s="1">
        <v>12</v>
      </c>
      <c r="C15" s="1">
        <v>35</v>
      </c>
    </row>
    <row r="16" spans="1:4" ht="18" x14ac:dyDescent="0.2">
      <c r="A16" s="1" t="s">
        <v>10</v>
      </c>
      <c r="B16" s="1">
        <v>10</v>
      </c>
      <c r="C16" s="1">
        <v>30</v>
      </c>
    </row>
    <row r="17" spans="1:9" ht="18" x14ac:dyDescent="0.2">
      <c r="A17" s="1" t="s">
        <v>11</v>
      </c>
      <c r="B17" s="1">
        <v>10</v>
      </c>
      <c r="C17" s="1">
        <v>40</v>
      </c>
    </row>
    <row r="18" spans="1:9" ht="18" x14ac:dyDescent="0.2">
      <c r="A18" s="1" t="s">
        <v>12</v>
      </c>
      <c r="B18" s="1">
        <v>5</v>
      </c>
      <c r="C18" s="1">
        <v>30</v>
      </c>
    </row>
    <row r="19" spans="1:9" ht="18" x14ac:dyDescent="0.2">
      <c r="A19" s="1" t="s">
        <v>226</v>
      </c>
      <c r="B19" s="1">
        <v>10</v>
      </c>
      <c r="C19" s="1">
        <v>45</v>
      </c>
    </row>
    <row r="20" spans="1:9" ht="18" x14ac:dyDescent="0.2">
      <c r="A20" s="1" t="s">
        <v>38</v>
      </c>
      <c r="B20" s="2">
        <f>(12+10)/2</f>
        <v>11</v>
      </c>
      <c r="C20" s="2">
        <f>(30+35)/2</f>
        <v>32.5</v>
      </c>
      <c r="D20" s="1" t="s">
        <v>13</v>
      </c>
      <c r="E20" s="1">
        <v>12</v>
      </c>
      <c r="F20" s="1">
        <v>30</v>
      </c>
      <c r="G20" s="1" t="s">
        <v>37</v>
      </c>
      <c r="H20" s="1">
        <v>10</v>
      </c>
      <c r="I20" s="1">
        <v>35</v>
      </c>
    </row>
    <row r="21" spans="1:9" ht="18" x14ac:dyDescent="0.2">
      <c r="A21" s="1" t="s">
        <v>39</v>
      </c>
      <c r="B21" s="2">
        <v>8</v>
      </c>
      <c r="C21" s="2">
        <v>32</v>
      </c>
      <c r="D21" s="1" t="s">
        <v>202</v>
      </c>
      <c r="E21" s="1"/>
      <c r="F21" s="1"/>
      <c r="G21" s="1"/>
      <c r="H21" s="1"/>
      <c r="I21" s="1"/>
    </row>
    <row r="22" spans="1:9" ht="18" x14ac:dyDescent="0.2">
      <c r="A22" s="1" t="s">
        <v>14</v>
      </c>
      <c r="B22" s="1">
        <v>0</v>
      </c>
      <c r="C22" s="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BB2A-74EC-EC4D-BB16-482A7B2E8CA7}">
  <dimension ref="A1:J151"/>
  <sheetViews>
    <sheetView tabSelected="1" zoomScale="153" zoomScaleNormal="153" workbookViewId="0">
      <selection activeCell="C14" sqref="C14"/>
    </sheetView>
  </sheetViews>
  <sheetFormatPr baseColWidth="10" defaultRowHeight="16" x14ac:dyDescent="0.2"/>
  <cols>
    <col min="2" max="2" width="45.33203125" bestFit="1" customWidth="1"/>
    <col min="3" max="3" width="48" customWidth="1"/>
  </cols>
  <sheetData>
    <row r="1" spans="1:5" x14ac:dyDescent="0.2">
      <c r="A1" t="s">
        <v>15</v>
      </c>
    </row>
    <row r="2" spans="1:5" x14ac:dyDescent="0.2">
      <c r="A2" t="s">
        <v>16</v>
      </c>
    </row>
    <row r="3" spans="1:5" x14ac:dyDescent="0.2">
      <c r="A3" t="s">
        <v>17</v>
      </c>
      <c r="B3" t="s">
        <v>18</v>
      </c>
    </row>
    <row r="4" spans="1:5" ht="18" x14ac:dyDescent="0.2">
      <c r="A4">
        <v>773</v>
      </c>
      <c r="B4" t="s">
        <v>24</v>
      </c>
      <c r="C4" s="1" t="s">
        <v>34</v>
      </c>
      <c r="D4" s="1">
        <v>0</v>
      </c>
      <c r="E4" s="1">
        <v>36</v>
      </c>
    </row>
    <row r="5" spans="1:5" x14ac:dyDescent="0.2">
      <c r="A5">
        <v>777</v>
      </c>
      <c r="B5" t="s">
        <v>25</v>
      </c>
      <c r="C5" t="s">
        <v>35</v>
      </c>
    </row>
    <row r="6" spans="1:5" x14ac:dyDescent="0.2">
      <c r="A6">
        <v>780</v>
      </c>
      <c r="B6" t="s">
        <v>108</v>
      </c>
      <c r="C6" t="s">
        <v>35</v>
      </c>
    </row>
    <row r="7" spans="1:5" x14ac:dyDescent="0.2">
      <c r="A7">
        <v>782</v>
      </c>
      <c r="B7" t="s">
        <v>26</v>
      </c>
    </row>
    <row r="8" spans="1:5" x14ac:dyDescent="0.2">
      <c r="A8">
        <v>788</v>
      </c>
      <c r="B8" t="s">
        <v>109</v>
      </c>
    </row>
    <row r="9" spans="1:5" ht="18" x14ac:dyDescent="0.2">
      <c r="A9">
        <v>789</v>
      </c>
      <c r="B9" t="s">
        <v>110</v>
      </c>
      <c r="C9" s="1" t="s">
        <v>36</v>
      </c>
      <c r="D9" s="1">
        <v>10</v>
      </c>
      <c r="E9" s="1">
        <v>35</v>
      </c>
    </row>
    <row r="10" spans="1:5" ht="18" x14ac:dyDescent="0.2">
      <c r="A10">
        <v>800</v>
      </c>
      <c r="B10" t="s">
        <v>111</v>
      </c>
      <c r="C10" s="1" t="s">
        <v>36</v>
      </c>
      <c r="D10" s="1">
        <v>10</v>
      </c>
      <c r="E10" s="1">
        <v>35</v>
      </c>
    </row>
    <row r="11" spans="1:5" x14ac:dyDescent="0.2">
      <c r="A11">
        <v>809</v>
      </c>
      <c r="B11" t="s">
        <v>112</v>
      </c>
    </row>
    <row r="12" spans="1:5" x14ac:dyDescent="0.2">
      <c r="A12">
        <v>813</v>
      </c>
      <c r="B12" t="s">
        <v>113</v>
      </c>
    </row>
    <row r="13" spans="1:5" x14ac:dyDescent="0.2">
      <c r="A13">
        <v>821</v>
      </c>
      <c r="B13" t="s">
        <v>114</v>
      </c>
    </row>
    <row r="14" spans="1:5" x14ac:dyDescent="0.2">
      <c r="A14" t="s">
        <v>21</v>
      </c>
    </row>
    <row r="16" spans="1:5" x14ac:dyDescent="0.2">
      <c r="A16" t="s">
        <v>19</v>
      </c>
    </row>
    <row r="17" spans="1:7" x14ac:dyDescent="0.2">
      <c r="A17" t="s">
        <v>17</v>
      </c>
      <c r="B17" t="s">
        <v>20</v>
      </c>
    </row>
    <row r="18" spans="1:7" x14ac:dyDescent="0.2">
      <c r="A18">
        <v>260</v>
      </c>
      <c r="B18" t="s">
        <v>43</v>
      </c>
      <c r="C18" t="s">
        <v>55</v>
      </c>
      <c r="D18">
        <v>7</v>
      </c>
      <c r="E18">
        <v>35</v>
      </c>
    </row>
    <row r="19" spans="1:7" x14ac:dyDescent="0.2">
      <c r="A19">
        <v>263</v>
      </c>
      <c r="B19" t="s">
        <v>115</v>
      </c>
    </row>
    <row r="20" spans="1:7" x14ac:dyDescent="0.2">
      <c r="A20">
        <v>292</v>
      </c>
      <c r="B20" t="s">
        <v>44</v>
      </c>
      <c r="C20" t="s">
        <v>56</v>
      </c>
      <c r="D20">
        <v>5</v>
      </c>
      <c r="E20">
        <v>40</v>
      </c>
    </row>
    <row r="21" spans="1:7" x14ac:dyDescent="0.2">
      <c r="A21">
        <v>265</v>
      </c>
      <c r="B21" t="s">
        <v>116</v>
      </c>
      <c r="C21" t="s">
        <v>58</v>
      </c>
      <c r="D21">
        <v>10</v>
      </c>
      <c r="E21">
        <v>30</v>
      </c>
    </row>
    <row r="22" spans="1:7" x14ac:dyDescent="0.2">
      <c r="A22">
        <v>275</v>
      </c>
      <c r="B22" t="s">
        <v>45</v>
      </c>
    </row>
    <row r="23" spans="1:7" x14ac:dyDescent="0.2">
      <c r="A23">
        <v>277</v>
      </c>
      <c r="B23" t="s">
        <v>46</v>
      </c>
    </row>
    <row r="24" spans="1:7" x14ac:dyDescent="0.2">
      <c r="A24">
        <v>280</v>
      </c>
      <c r="B24" t="s">
        <v>47</v>
      </c>
      <c r="C24" t="s">
        <v>57</v>
      </c>
      <c r="D24">
        <v>5</v>
      </c>
      <c r="E24">
        <v>35</v>
      </c>
    </row>
    <row r="25" spans="1:7" x14ac:dyDescent="0.2">
      <c r="A25">
        <v>296</v>
      </c>
      <c r="B25" t="s">
        <v>48</v>
      </c>
    </row>
    <row r="26" spans="1:7" x14ac:dyDescent="0.2">
      <c r="A26">
        <v>299</v>
      </c>
      <c r="B26" t="s">
        <v>49</v>
      </c>
    </row>
    <row r="27" spans="1:7" x14ac:dyDescent="0.2">
      <c r="A27">
        <v>305</v>
      </c>
      <c r="B27" t="s">
        <v>50</v>
      </c>
    </row>
    <row r="28" spans="1:7" x14ac:dyDescent="0.2">
      <c r="A28">
        <v>310</v>
      </c>
      <c r="B28" t="s">
        <v>51</v>
      </c>
    </row>
    <row r="29" spans="1:7" x14ac:dyDescent="0.2">
      <c r="A29">
        <v>333</v>
      </c>
      <c r="B29" t="s">
        <v>52</v>
      </c>
      <c r="C29" t="s">
        <v>59</v>
      </c>
      <c r="D29">
        <v>0</v>
      </c>
      <c r="E29">
        <v>36</v>
      </c>
    </row>
    <row r="30" spans="1:7" x14ac:dyDescent="0.2">
      <c r="A30">
        <v>339</v>
      </c>
      <c r="B30" t="s">
        <v>53</v>
      </c>
    </row>
    <row r="31" spans="1:7" x14ac:dyDescent="0.2">
      <c r="A31">
        <v>336</v>
      </c>
      <c r="B31" t="s">
        <v>54</v>
      </c>
    </row>
    <row r="32" spans="1:7" x14ac:dyDescent="0.2">
      <c r="A32" t="s">
        <v>21</v>
      </c>
      <c r="D32">
        <f>AVERAGE(D18:D29)</f>
        <v>5.4</v>
      </c>
      <c r="E32">
        <f>AVERAGE(E18:E29)</f>
        <v>35.200000000000003</v>
      </c>
      <c r="F32">
        <v>5.5</v>
      </c>
      <c r="G32">
        <v>35</v>
      </c>
    </row>
    <row r="34" spans="1:7" x14ac:dyDescent="0.2">
      <c r="A34" t="s">
        <v>22</v>
      </c>
    </row>
    <row r="35" spans="1:7" x14ac:dyDescent="0.2">
      <c r="A35" t="s">
        <v>17</v>
      </c>
      <c r="B35" t="s">
        <v>18</v>
      </c>
    </row>
    <row r="36" spans="1:7" x14ac:dyDescent="0.2">
      <c r="A36">
        <v>181</v>
      </c>
      <c r="B36" t="s">
        <v>117</v>
      </c>
    </row>
    <row r="37" spans="1:7" x14ac:dyDescent="0.2">
      <c r="A37">
        <v>187</v>
      </c>
      <c r="B37" t="s">
        <v>118</v>
      </c>
      <c r="C37" t="s">
        <v>69</v>
      </c>
      <c r="D37">
        <v>5</v>
      </c>
      <c r="E37">
        <v>27</v>
      </c>
    </row>
    <row r="38" spans="1:7" x14ac:dyDescent="0.2">
      <c r="A38">
        <v>203</v>
      </c>
      <c r="B38" t="s">
        <v>61</v>
      </c>
    </row>
    <row r="39" spans="1:7" x14ac:dyDescent="0.2">
      <c r="A39">
        <v>205</v>
      </c>
      <c r="B39" t="s">
        <v>70</v>
      </c>
      <c r="C39" t="s">
        <v>71</v>
      </c>
      <c r="D39">
        <v>0</v>
      </c>
      <c r="E39">
        <v>30</v>
      </c>
    </row>
    <row r="40" spans="1:7" x14ac:dyDescent="0.2">
      <c r="A40">
        <v>210</v>
      </c>
      <c r="B40" t="s">
        <v>62</v>
      </c>
    </row>
    <row r="41" spans="1:7" x14ac:dyDescent="0.2">
      <c r="A41">
        <v>211</v>
      </c>
      <c r="B41" t="s">
        <v>63</v>
      </c>
    </row>
    <row r="42" spans="1:7" x14ac:dyDescent="0.2">
      <c r="A42">
        <v>191</v>
      </c>
      <c r="B42" t="s">
        <v>64</v>
      </c>
      <c r="C42" t="s">
        <v>66</v>
      </c>
      <c r="D42">
        <v>5</v>
      </c>
      <c r="E42">
        <v>32</v>
      </c>
    </row>
    <row r="43" spans="1:7" x14ac:dyDescent="0.2">
      <c r="A43">
        <v>195</v>
      </c>
      <c r="B43" t="s">
        <v>119</v>
      </c>
      <c r="C43" t="s">
        <v>67</v>
      </c>
      <c r="D43">
        <v>10</v>
      </c>
      <c r="E43">
        <v>35</v>
      </c>
    </row>
    <row r="44" spans="1:7" x14ac:dyDescent="0.2">
      <c r="A44">
        <v>197</v>
      </c>
      <c r="B44" t="s">
        <v>65</v>
      </c>
    </row>
    <row r="45" spans="1:7" x14ac:dyDescent="0.2">
      <c r="A45">
        <v>201</v>
      </c>
      <c r="B45" t="s">
        <v>120</v>
      </c>
      <c r="C45" t="s">
        <v>68</v>
      </c>
      <c r="D45">
        <v>2</v>
      </c>
      <c r="E45">
        <v>35</v>
      </c>
    </row>
    <row r="46" spans="1:7" x14ac:dyDescent="0.2">
      <c r="A46" t="s">
        <v>21</v>
      </c>
      <c r="D46">
        <f>AVERAGE(D36:D45)</f>
        <v>4.4000000000000004</v>
      </c>
      <c r="E46">
        <f>AVERAGE(E37:E45)</f>
        <v>31.8</v>
      </c>
      <c r="F46">
        <v>4.5</v>
      </c>
      <c r="G46">
        <v>32</v>
      </c>
    </row>
    <row r="48" spans="1:7" x14ac:dyDescent="0.2">
      <c r="A48" t="s">
        <v>23</v>
      </c>
    </row>
    <row r="49" spans="1:5" x14ac:dyDescent="0.2">
      <c r="A49" t="s">
        <v>17</v>
      </c>
      <c r="B49" t="s">
        <v>18</v>
      </c>
    </row>
    <row r="50" spans="1:5" x14ac:dyDescent="0.2">
      <c r="A50">
        <v>161</v>
      </c>
      <c r="B50" t="s">
        <v>88</v>
      </c>
    </row>
    <row r="51" spans="1:5" x14ac:dyDescent="0.2">
      <c r="A51">
        <v>216</v>
      </c>
      <c r="B51" t="s">
        <v>72</v>
      </c>
    </row>
    <row r="52" spans="1:5" x14ac:dyDescent="0.2">
      <c r="A52">
        <v>217</v>
      </c>
      <c r="B52" t="s">
        <v>73</v>
      </c>
    </row>
    <row r="53" spans="1:5" x14ac:dyDescent="0.2">
      <c r="A53">
        <v>220</v>
      </c>
      <c r="B53" t="s">
        <v>74</v>
      </c>
    </row>
    <row r="54" spans="1:5" x14ac:dyDescent="0.2">
      <c r="A54">
        <v>221</v>
      </c>
      <c r="B54" t="s">
        <v>75</v>
      </c>
      <c r="C54" t="s">
        <v>89</v>
      </c>
      <c r="D54">
        <v>4.5</v>
      </c>
      <c r="E54">
        <v>35</v>
      </c>
    </row>
    <row r="55" spans="1:5" x14ac:dyDescent="0.2">
      <c r="A55">
        <v>222</v>
      </c>
      <c r="B55" t="s">
        <v>76</v>
      </c>
      <c r="C55" t="s">
        <v>90</v>
      </c>
      <c r="D55">
        <v>4.5</v>
      </c>
      <c r="E55">
        <v>30</v>
      </c>
    </row>
    <row r="56" spans="1:5" x14ac:dyDescent="0.2">
      <c r="A56">
        <v>223</v>
      </c>
      <c r="B56" t="s">
        <v>77</v>
      </c>
      <c r="C56" t="s">
        <v>91</v>
      </c>
      <c r="D56">
        <v>9</v>
      </c>
      <c r="E56">
        <v>35</v>
      </c>
    </row>
    <row r="57" spans="1:5" x14ac:dyDescent="0.2">
      <c r="A57">
        <v>224</v>
      </c>
      <c r="B57" t="s">
        <v>78</v>
      </c>
    </row>
    <row r="58" spans="1:5" x14ac:dyDescent="0.2">
      <c r="A58">
        <v>225</v>
      </c>
      <c r="B58" t="s">
        <v>121</v>
      </c>
    </row>
    <row r="59" spans="1:5" x14ac:dyDescent="0.2">
      <c r="A59">
        <v>226</v>
      </c>
      <c r="B59" t="s">
        <v>79</v>
      </c>
    </row>
    <row r="60" spans="1:5" x14ac:dyDescent="0.2">
      <c r="A60">
        <v>234</v>
      </c>
      <c r="B60" t="s">
        <v>80</v>
      </c>
    </row>
    <row r="61" spans="1:5" x14ac:dyDescent="0.2">
      <c r="A61">
        <v>671</v>
      </c>
      <c r="B61" t="s">
        <v>122</v>
      </c>
    </row>
    <row r="62" spans="1:5" x14ac:dyDescent="0.2">
      <c r="A62">
        <v>677</v>
      </c>
      <c r="B62" t="s">
        <v>123</v>
      </c>
      <c r="C62" t="s">
        <v>92</v>
      </c>
      <c r="D62">
        <v>5</v>
      </c>
      <c r="E62">
        <v>30</v>
      </c>
    </row>
    <row r="63" spans="1:5" x14ac:dyDescent="0.2">
      <c r="A63">
        <v>687</v>
      </c>
      <c r="B63" t="s">
        <v>81</v>
      </c>
      <c r="C63" t="s">
        <v>93</v>
      </c>
      <c r="D63">
        <v>10</v>
      </c>
      <c r="E63">
        <v>40</v>
      </c>
    </row>
    <row r="64" spans="1:5" x14ac:dyDescent="0.2">
      <c r="A64">
        <v>689</v>
      </c>
      <c r="B64" t="s">
        <v>124</v>
      </c>
    </row>
    <row r="65" spans="1:10" x14ac:dyDescent="0.2">
      <c r="A65">
        <v>692</v>
      </c>
      <c r="B65" t="s">
        <v>83</v>
      </c>
    </row>
    <row r="66" spans="1:10" x14ac:dyDescent="0.2">
      <c r="A66">
        <v>693</v>
      </c>
      <c r="B66" t="s">
        <v>84</v>
      </c>
    </row>
    <row r="67" spans="1:10" x14ac:dyDescent="0.2">
      <c r="A67">
        <v>698</v>
      </c>
      <c r="B67" t="s">
        <v>85</v>
      </c>
    </row>
    <row r="68" spans="1:10" x14ac:dyDescent="0.2">
      <c r="A68">
        <v>702</v>
      </c>
      <c r="B68" t="s">
        <v>125</v>
      </c>
    </row>
    <row r="69" spans="1:10" x14ac:dyDescent="0.2">
      <c r="A69">
        <v>711</v>
      </c>
      <c r="B69" t="s">
        <v>126</v>
      </c>
      <c r="H69" t="s">
        <v>95</v>
      </c>
      <c r="I69">
        <v>4</v>
      </c>
      <c r="J69">
        <v>30</v>
      </c>
    </row>
    <row r="70" spans="1:10" x14ac:dyDescent="0.2">
      <c r="A70">
        <v>720</v>
      </c>
      <c r="B70" t="s">
        <v>86</v>
      </c>
    </row>
    <row r="71" spans="1:10" x14ac:dyDescent="0.2">
      <c r="A71">
        <v>723</v>
      </c>
      <c r="B71" t="s">
        <v>87</v>
      </c>
      <c r="C71" t="s">
        <v>96</v>
      </c>
      <c r="D71">
        <v>10</v>
      </c>
      <c r="E71">
        <v>30</v>
      </c>
    </row>
    <row r="72" spans="1:10" x14ac:dyDescent="0.2">
      <c r="A72">
        <v>748</v>
      </c>
      <c r="B72" t="s">
        <v>127</v>
      </c>
      <c r="C72" t="s">
        <v>97</v>
      </c>
      <c r="D72">
        <v>0</v>
      </c>
      <c r="E72">
        <v>35</v>
      </c>
    </row>
    <row r="73" spans="1:10" x14ac:dyDescent="0.2">
      <c r="A73">
        <v>754</v>
      </c>
      <c r="B73" t="s">
        <v>128</v>
      </c>
    </row>
    <row r="74" spans="1:10" x14ac:dyDescent="0.2">
      <c r="A74" t="s">
        <v>21</v>
      </c>
      <c r="D74">
        <f>AVERAGE(D54:D72)</f>
        <v>6.1428571428571432</v>
      </c>
      <c r="E74">
        <f>AVERAGE(E54:E72)</f>
        <v>33.571428571428569</v>
      </c>
      <c r="F74">
        <v>6</v>
      </c>
      <c r="G74">
        <v>33</v>
      </c>
    </row>
    <row r="76" spans="1:10" x14ac:dyDescent="0.2">
      <c r="A76" t="s">
        <v>27</v>
      </c>
    </row>
    <row r="77" spans="1:10" x14ac:dyDescent="0.2">
      <c r="A77" t="s">
        <v>17</v>
      </c>
      <c r="B77" t="s">
        <v>18</v>
      </c>
    </row>
    <row r="78" spans="1:10" x14ac:dyDescent="0.2">
      <c r="A78" t="s">
        <v>28</v>
      </c>
    </row>
    <row r="79" spans="1:10" x14ac:dyDescent="0.2">
      <c r="A79">
        <v>358</v>
      </c>
      <c r="B79" t="s">
        <v>99</v>
      </c>
    </row>
    <row r="80" spans="1:10" x14ac:dyDescent="0.2">
      <c r="A80">
        <v>366</v>
      </c>
      <c r="B80" t="s">
        <v>100</v>
      </c>
    </row>
    <row r="81" spans="1:5" x14ac:dyDescent="0.2">
      <c r="A81">
        <v>367</v>
      </c>
      <c r="B81" t="s">
        <v>101</v>
      </c>
    </row>
    <row r="82" spans="1:5" x14ac:dyDescent="0.2">
      <c r="A82">
        <v>382</v>
      </c>
      <c r="B82" t="s">
        <v>35</v>
      </c>
    </row>
    <row r="83" spans="1:5" x14ac:dyDescent="0.2">
      <c r="A83">
        <v>373</v>
      </c>
      <c r="B83" t="s">
        <v>102</v>
      </c>
    </row>
    <row r="84" spans="1:5" x14ac:dyDescent="0.2">
      <c r="A84">
        <v>378</v>
      </c>
      <c r="B84" t="s">
        <v>103</v>
      </c>
    </row>
    <row r="85" spans="1:5" x14ac:dyDescent="0.2">
      <c r="A85">
        <v>393</v>
      </c>
      <c r="B85" t="s">
        <v>104</v>
      </c>
    </row>
    <row r="86" spans="1:5" x14ac:dyDescent="0.2">
      <c r="A86">
        <v>394</v>
      </c>
      <c r="B86" t="s">
        <v>105</v>
      </c>
    </row>
    <row r="87" spans="1:5" x14ac:dyDescent="0.2">
      <c r="A87">
        <v>397</v>
      </c>
      <c r="B87" t="s">
        <v>106</v>
      </c>
    </row>
    <row r="88" spans="1:5" x14ac:dyDescent="0.2">
      <c r="A88">
        <v>399</v>
      </c>
      <c r="B88" t="s">
        <v>107</v>
      </c>
    </row>
    <row r="89" spans="1:5" x14ac:dyDescent="0.2">
      <c r="A89">
        <v>401</v>
      </c>
      <c r="B89" t="s">
        <v>82</v>
      </c>
      <c r="C89" t="s">
        <v>94</v>
      </c>
      <c r="D89">
        <v>10</v>
      </c>
      <c r="E89">
        <v>35</v>
      </c>
    </row>
    <row r="90" spans="1:5" x14ac:dyDescent="0.2">
      <c r="A90">
        <v>106</v>
      </c>
      <c r="B90" t="s">
        <v>35</v>
      </c>
    </row>
    <row r="91" spans="1:5" x14ac:dyDescent="0.2">
      <c r="A91">
        <v>407</v>
      </c>
      <c r="B91" t="s">
        <v>129</v>
      </c>
    </row>
    <row r="92" spans="1:5" x14ac:dyDescent="0.2">
      <c r="A92">
        <v>414</v>
      </c>
      <c r="B92" t="s">
        <v>130</v>
      </c>
      <c r="C92" t="s">
        <v>131</v>
      </c>
      <c r="D92">
        <v>10</v>
      </c>
      <c r="E92">
        <v>32</v>
      </c>
    </row>
    <row r="93" spans="1:5" x14ac:dyDescent="0.2">
      <c r="A93">
        <v>417</v>
      </c>
      <c r="B93" t="s">
        <v>132</v>
      </c>
      <c r="C93" t="s">
        <v>69</v>
      </c>
      <c r="D93">
        <v>5</v>
      </c>
      <c r="E93">
        <v>27</v>
      </c>
    </row>
    <row r="94" spans="1:5" x14ac:dyDescent="0.2">
      <c r="A94">
        <v>420</v>
      </c>
      <c r="B94" t="s">
        <v>133</v>
      </c>
    </row>
    <row r="95" spans="1:5" x14ac:dyDescent="0.2">
      <c r="A95">
        <v>423</v>
      </c>
      <c r="B95" t="s">
        <v>134</v>
      </c>
    </row>
    <row r="96" spans="1:5" x14ac:dyDescent="0.2">
      <c r="A96">
        <v>426</v>
      </c>
      <c r="B96" t="s">
        <v>135</v>
      </c>
      <c r="C96" t="s">
        <v>179</v>
      </c>
      <c r="D96">
        <v>6</v>
      </c>
      <c r="E96">
        <v>30</v>
      </c>
    </row>
    <row r="97" spans="1:5" x14ac:dyDescent="0.2">
      <c r="A97">
        <v>430</v>
      </c>
      <c r="B97" t="s">
        <v>136</v>
      </c>
      <c r="C97" t="s">
        <v>180</v>
      </c>
      <c r="D97">
        <v>10</v>
      </c>
      <c r="E97">
        <v>35</v>
      </c>
    </row>
    <row r="98" spans="1:5" x14ac:dyDescent="0.2">
      <c r="A98">
        <v>446</v>
      </c>
      <c r="B98" t="s">
        <v>137</v>
      </c>
      <c r="C98" t="s">
        <v>181</v>
      </c>
      <c r="D98">
        <v>10</v>
      </c>
      <c r="E98">
        <v>32</v>
      </c>
    </row>
    <row r="99" spans="1:5" x14ac:dyDescent="0.2">
      <c r="A99">
        <v>449</v>
      </c>
      <c r="B99" t="s">
        <v>138</v>
      </c>
    </row>
    <row r="100" spans="1:5" x14ac:dyDescent="0.2">
      <c r="A100">
        <v>459</v>
      </c>
      <c r="B100" t="s">
        <v>139</v>
      </c>
    </row>
    <row r="101" spans="1:5" x14ac:dyDescent="0.2">
      <c r="A101">
        <v>461</v>
      </c>
      <c r="B101" t="s">
        <v>140</v>
      </c>
    </row>
    <row r="102" spans="1:5" x14ac:dyDescent="0.2">
      <c r="A102">
        <v>463</v>
      </c>
      <c r="B102" t="s">
        <v>141</v>
      </c>
    </row>
    <row r="105" spans="1:5" x14ac:dyDescent="0.2">
      <c r="A105" t="s">
        <v>29</v>
      </c>
    </row>
    <row r="106" spans="1:5" x14ac:dyDescent="0.2">
      <c r="A106">
        <v>567</v>
      </c>
      <c r="B106" t="s">
        <v>142</v>
      </c>
      <c r="C106" t="s">
        <v>182</v>
      </c>
      <c r="D106">
        <v>10</v>
      </c>
      <c r="E106">
        <v>35</v>
      </c>
    </row>
    <row r="107" spans="1:5" x14ac:dyDescent="0.2">
      <c r="A107">
        <v>568</v>
      </c>
      <c r="B107" t="s">
        <v>143</v>
      </c>
      <c r="C107" t="s">
        <v>183</v>
      </c>
      <c r="D107">
        <v>10</v>
      </c>
      <c r="E107">
        <v>38</v>
      </c>
    </row>
    <row r="108" spans="1:5" x14ac:dyDescent="0.2">
      <c r="A108">
        <v>569</v>
      </c>
      <c r="B108" t="s">
        <v>144</v>
      </c>
    </row>
    <row r="109" spans="1:5" x14ac:dyDescent="0.2">
      <c r="A109">
        <v>571</v>
      </c>
      <c r="B109" t="s">
        <v>145</v>
      </c>
      <c r="C109" t="s">
        <v>184</v>
      </c>
      <c r="D109">
        <f>(12+12)/2</f>
        <v>12</v>
      </c>
      <c r="E109">
        <f>(32+35)/2</f>
        <v>33.5</v>
      </c>
    </row>
    <row r="110" spans="1:5" x14ac:dyDescent="0.2">
      <c r="A110">
        <v>572</v>
      </c>
      <c r="B110" t="s">
        <v>146</v>
      </c>
      <c r="C110" t="s">
        <v>185</v>
      </c>
      <c r="D110">
        <v>6</v>
      </c>
      <c r="E110">
        <v>33</v>
      </c>
    </row>
    <row r="111" spans="1:5" x14ac:dyDescent="0.2">
      <c r="A111">
        <v>574</v>
      </c>
      <c r="B111" t="s">
        <v>147</v>
      </c>
      <c r="C111" t="s">
        <v>186</v>
      </c>
      <c r="D111">
        <v>13</v>
      </c>
      <c r="E111">
        <v>25</v>
      </c>
    </row>
    <row r="112" spans="1:5" x14ac:dyDescent="0.2">
      <c r="A112">
        <v>577</v>
      </c>
      <c r="B112" t="s">
        <v>148</v>
      </c>
      <c r="C112" t="s">
        <v>187</v>
      </c>
      <c r="D112">
        <v>10</v>
      </c>
      <c r="E112">
        <v>35</v>
      </c>
    </row>
    <row r="113" spans="1:5" x14ac:dyDescent="0.2">
      <c r="A113">
        <v>587</v>
      </c>
      <c r="B113" t="s">
        <v>149</v>
      </c>
    </row>
    <row r="114" spans="1:5" x14ac:dyDescent="0.2">
      <c r="A114">
        <v>591</v>
      </c>
      <c r="B114" t="s">
        <v>150</v>
      </c>
    </row>
    <row r="115" spans="1:5" x14ac:dyDescent="0.2">
      <c r="A115">
        <v>600</v>
      </c>
      <c r="B115" t="s">
        <v>151</v>
      </c>
      <c r="C115" t="s">
        <v>188</v>
      </c>
      <c r="D115">
        <v>15</v>
      </c>
      <c r="E115">
        <v>35</v>
      </c>
    </row>
    <row r="116" spans="1:5" x14ac:dyDescent="0.2">
      <c r="A116">
        <v>603</v>
      </c>
      <c r="B116" t="s">
        <v>152</v>
      </c>
    </row>
    <row r="118" spans="1:5" x14ac:dyDescent="0.2">
      <c r="A118" t="s">
        <v>30</v>
      </c>
    </row>
    <row r="119" spans="1:5" x14ac:dyDescent="0.2">
      <c r="A119">
        <v>515</v>
      </c>
      <c r="B119" t="s">
        <v>153</v>
      </c>
      <c r="C119" t="s">
        <v>189</v>
      </c>
      <c r="D119">
        <v>4</v>
      </c>
      <c r="E119">
        <v>35</v>
      </c>
    </row>
    <row r="120" spans="1:5" x14ac:dyDescent="0.2">
      <c r="A120">
        <v>521</v>
      </c>
      <c r="B120" t="s">
        <v>154</v>
      </c>
      <c r="C120" t="s">
        <v>190</v>
      </c>
      <c r="D120">
        <v>4</v>
      </c>
      <c r="E120">
        <v>35</v>
      </c>
    </row>
    <row r="121" spans="1:5" x14ac:dyDescent="0.2">
      <c r="A121">
        <v>523</v>
      </c>
      <c r="B121" t="s">
        <v>155</v>
      </c>
    </row>
    <row r="122" spans="1:5" x14ac:dyDescent="0.2">
      <c r="A122">
        <v>526</v>
      </c>
      <c r="B122" t="s">
        <v>156</v>
      </c>
      <c r="C122" t="s">
        <v>191</v>
      </c>
      <c r="D122">
        <v>7</v>
      </c>
      <c r="E122">
        <v>25</v>
      </c>
    </row>
    <row r="123" spans="1:5" x14ac:dyDescent="0.2">
      <c r="A123">
        <v>530</v>
      </c>
      <c r="B123" t="s">
        <v>157</v>
      </c>
    </row>
    <row r="124" spans="1:5" x14ac:dyDescent="0.2">
      <c r="A124">
        <v>531</v>
      </c>
      <c r="B124" t="s">
        <v>158</v>
      </c>
      <c r="C124" t="s">
        <v>192</v>
      </c>
      <c r="D124">
        <v>4.5</v>
      </c>
      <c r="E124">
        <v>30</v>
      </c>
    </row>
    <row r="125" spans="1:5" x14ac:dyDescent="0.2">
      <c r="A125">
        <v>534</v>
      </c>
      <c r="B125" t="s">
        <v>159</v>
      </c>
      <c r="C125" t="s">
        <v>193</v>
      </c>
      <c r="D125">
        <v>7</v>
      </c>
      <c r="E125">
        <v>35</v>
      </c>
    </row>
    <row r="126" spans="1:5" x14ac:dyDescent="0.2">
      <c r="A126">
        <v>536</v>
      </c>
      <c r="B126" t="s">
        <v>160</v>
      </c>
      <c r="C126" t="s">
        <v>194</v>
      </c>
      <c r="D126">
        <v>4.5</v>
      </c>
      <c r="E126">
        <v>25</v>
      </c>
    </row>
    <row r="127" spans="1:5" x14ac:dyDescent="0.2">
      <c r="A127">
        <v>541</v>
      </c>
      <c r="B127" t="s">
        <v>161</v>
      </c>
    </row>
    <row r="128" spans="1:5" x14ac:dyDescent="0.2">
      <c r="A128">
        <v>542</v>
      </c>
      <c r="B128" t="s">
        <v>162</v>
      </c>
    </row>
    <row r="129" spans="1:5" x14ac:dyDescent="0.2">
      <c r="A129">
        <v>544</v>
      </c>
      <c r="B129" t="s">
        <v>163</v>
      </c>
      <c r="C129" t="s">
        <v>195</v>
      </c>
      <c r="D129">
        <v>3</v>
      </c>
      <c r="E129">
        <v>30</v>
      </c>
    </row>
    <row r="130" spans="1:5" x14ac:dyDescent="0.2">
      <c r="A130">
        <v>547</v>
      </c>
      <c r="B130" t="s">
        <v>164</v>
      </c>
    </row>
    <row r="131" spans="1:5" x14ac:dyDescent="0.2">
      <c r="A131">
        <v>549</v>
      </c>
      <c r="B131" t="s">
        <v>165</v>
      </c>
    </row>
    <row r="132" spans="1:5" x14ac:dyDescent="0.2">
      <c r="A132">
        <v>550</v>
      </c>
      <c r="B132" t="s">
        <v>166</v>
      </c>
    </row>
    <row r="133" spans="1:5" x14ac:dyDescent="0.2">
      <c r="A133">
        <v>552</v>
      </c>
      <c r="B133" t="s">
        <v>167</v>
      </c>
    </row>
    <row r="134" spans="1:5" x14ac:dyDescent="0.2">
      <c r="A134">
        <v>554</v>
      </c>
      <c r="B134" t="s">
        <v>168</v>
      </c>
    </row>
    <row r="135" spans="1:5" x14ac:dyDescent="0.2">
      <c r="A135">
        <v>558</v>
      </c>
      <c r="B135" t="s">
        <v>169</v>
      </c>
    </row>
    <row r="136" spans="1:5" x14ac:dyDescent="0.2">
      <c r="A136">
        <v>560</v>
      </c>
      <c r="B136" t="s">
        <v>170</v>
      </c>
      <c r="C136" t="s">
        <v>196</v>
      </c>
      <c r="D136">
        <v>10</v>
      </c>
      <c r="E136">
        <v>35</v>
      </c>
    </row>
    <row r="137" spans="1:5" x14ac:dyDescent="0.2">
      <c r="A137">
        <v>619</v>
      </c>
      <c r="B137" t="s">
        <v>171</v>
      </c>
    </row>
    <row r="139" spans="1:5" x14ac:dyDescent="0.2">
      <c r="A139" t="s">
        <v>31</v>
      </c>
    </row>
    <row r="140" spans="1:5" x14ac:dyDescent="0.2">
      <c r="A140">
        <v>388</v>
      </c>
      <c r="B140" t="s">
        <v>172</v>
      </c>
      <c r="C140" t="s">
        <v>197</v>
      </c>
      <c r="D140">
        <v>7</v>
      </c>
      <c r="E140">
        <v>28</v>
      </c>
    </row>
    <row r="142" spans="1:5" x14ac:dyDescent="0.2">
      <c r="A142" t="s">
        <v>32</v>
      </c>
    </row>
    <row r="143" spans="1:5" x14ac:dyDescent="0.2">
      <c r="A143">
        <v>402</v>
      </c>
      <c r="B143" t="s">
        <v>173</v>
      </c>
      <c r="C143" t="s">
        <v>198</v>
      </c>
      <c r="D143">
        <v>4.5</v>
      </c>
      <c r="E143">
        <v>35</v>
      </c>
    </row>
    <row r="144" spans="1:5" x14ac:dyDescent="0.2">
      <c r="A144">
        <v>403</v>
      </c>
      <c r="B144" t="s">
        <v>174</v>
      </c>
    </row>
    <row r="145" spans="1:7" x14ac:dyDescent="0.2">
      <c r="A145" t="s">
        <v>33</v>
      </c>
    </row>
    <row r="146" spans="1:7" x14ac:dyDescent="0.2">
      <c r="A146">
        <v>490</v>
      </c>
      <c r="B146" t="s">
        <v>175</v>
      </c>
    </row>
    <row r="147" spans="1:7" x14ac:dyDescent="0.2">
      <c r="A147">
        <v>495</v>
      </c>
      <c r="B147" t="s">
        <v>176</v>
      </c>
      <c r="C147" t="s">
        <v>199</v>
      </c>
      <c r="D147">
        <v>13</v>
      </c>
      <c r="E147">
        <v>30</v>
      </c>
    </row>
    <row r="148" spans="1:7" x14ac:dyDescent="0.2">
      <c r="A148">
        <v>497</v>
      </c>
      <c r="B148" t="s">
        <v>177</v>
      </c>
      <c r="C148" t="s">
        <v>200</v>
      </c>
      <c r="D148">
        <v>5</v>
      </c>
      <c r="E148">
        <v>35</v>
      </c>
    </row>
    <row r="149" spans="1:7" x14ac:dyDescent="0.2">
      <c r="A149">
        <v>507</v>
      </c>
      <c r="B149" t="s">
        <v>201</v>
      </c>
    </row>
    <row r="150" spans="1:7" x14ac:dyDescent="0.2">
      <c r="A150">
        <v>512</v>
      </c>
      <c r="B150" t="s">
        <v>178</v>
      </c>
    </row>
    <row r="151" spans="1:7" x14ac:dyDescent="0.2">
      <c r="A151" t="s">
        <v>21</v>
      </c>
      <c r="D151">
        <f>AVERAGE(D79:D150)</f>
        <v>8.02</v>
      </c>
      <c r="E151">
        <f>AVERAGE(E79:E150)</f>
        <v>32.14</v>
      </c>
      <c r="F151">
        <v>8</v>
      </c>
      <c r="G15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Crops</vt:lpstr>
      <vt:lpstr>CropCalculation</vt:lpstr>
      <vt:lpstr>OtherCrops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Viriyaroj Bhattarabhop</dc:creator>
  <cp:lastModifiedBy>Viriyaroj Bhattarabhop</cp:lastModifiedBy>
  <dcterms:created xsi:type="dcterms:W3CDTF">2026-01-28T15:16:27Z</dcterms:created>
  <dcterms:modified xsi:type="dcterms:W3CDTF">2026-05-22T12:18:54Z</dcterms:modified>
</cp:coreProperties>
</file>