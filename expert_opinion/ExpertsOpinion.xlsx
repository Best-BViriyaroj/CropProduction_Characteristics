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https://aaltofi-my.sharepoint.com/personal/bhattarabhop_viriyaroj_aalto_fi/Documents/Documents/Doctoral/Research/projects/cropproduction_characteristics/"/>
    </mc:Choice>
  </mc:AlternateContent>
  <xr:revisionPtr revIDLastSave="61" documentId="8_{BDA86BD5-BABC-5F45-BBFC-6442BBB5D5D1}" xr6:coauthVersionLast="47" xr6:coauthVersionMax="47" xr10:uidLastSave="{452F43E6-3BBE-2142-AF10-AC7022AEE62A}"/>
  <bookViews>
    <workbookView xWindow="1060" yWindow="680" windowWidth="33500" windowHeight="21660" firstSheet="3" activeTab="10" xr2:uid="{4CDB99E0-323B-C74D-A528-9A606490E8B9}"/>
  </bookViews>
  <sheets>
    <sheet name="scoringR1_base" sheetId="1" r:id="rId1"/>
    <sheet name="variables_round1" sheetId="8" r:id="rId2"/>
    <sheet name="variables_round2" sheetId="10" r:id="rId3"/>
    <sheet name="XH1" sheetId="2" r:id="rId4"/>
    <sheet name="KD1" sheetId="3" r:id="rId5"/>
    <sheet name="DG1" sheetId="4" r:id="rId6"/>
    <sheet name="SG1" sheetId="5" r:id="rId7"/>
    <sheet name="CM1" sheetId="6" r:id="rId8"/>
    <sheet name="VS1" sheetId="7" r:id="rId9"/>
    <sheet name="CD1" sheetId="9" r:id="rId10"/>
    <sheet name="scoringR2" sheetId="11" r:id="rId11"/>
    <sheet name="Soil" sheetId="16" r:id="rId12"/>
    <sheet name="Climate" sheetId="17" r:id="rId13"/>
    <sheet name="Crop-field" sheetId="19" r:id="rId14"/>
    <sheet name="Water" sheetId="18" r:id="rId15"/>
    <sheet name="SocioE" sheetId="20" r:id="rId16"/>
    <sheet name="Management" sheetId="21" r:id="rId17"/>
    <sheet name="XH2" sheetId="12" r:id="rId18"/>
    <sheet name="VS2" sheetId="13" r:id="rId19"/>
    <sheet name="SG2" sheetId="14" r:id="rId20"/>
    <sheet name="CM2" sheetId="15" r:id="rId21"/>
    <sheet name="DG2" sheetId="22" r:id="rId22"/>
  </sheets>
  <definedNames>
    <definedName name="_xlnm._FilterDatabase" localSheetId="11" hidden="1">Soil!$B$21:$B$26</definedName>
    <definedName name="_xlchart.v1.0" hidden="1">Climate!$A$35:$A$47</definedName>
    <definedName name="_xlchart.v1.1" hidden="1">Climate!$B$35:$B$47</definedName>
    <definedName name="_xlchart.v1.2" hidden="1">Climate!$A$35:$A$47</definedName>
    <definedName name="_xlchart.v1.3" hidden="1">Climate!$B$35:$B$47</definedName>
    <definedName name="_xlchart.v1.4" hidden="1">SocioE!$A$9:$A$13</definedName>
    <definedName name="_xlchart.v1.5" hidden="1">SocioE!$B$8</definedName>
    <definedName name="_xlchart.v1.6" hidden="1">SocioE!$B$9:$B$13</definedName>
    <definedName name="_xlchart.v1.7" hidden="1">Management!$A$11:$A$15</definedName>
    <definedName name="_xlchart.v1.8" hidden="1">Management!$B$10</definedName>
    <definedName name="_xlchart.v1.9" hidden="1">Management!$B$11:$B$15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11" l="1"/>
  <c r="N10" i="11"/>
  <c r="N11" i="11"/>
  <c r="N12" i="11"/>
  <c r="N13" i="11"/>
  <c r="N16" i="11"/>
  <c r="N17" i="11"/>
  <c r="N18" i="11"/>
  <c r="N19" i="11"/>
  <c r="N20" i="11"/>
  <c r="N21" i="11"/>
  <c r="N22" i="11"/>
  <c r="N23" i="11"/>
  <c r="N24" i="11"/>
  <c r="N25" i="11"/>
  <c r="N26" i="11"/>
  <c r="N27" i="11"/>
  <c r="N28" i="11"/>
  <c r="N8" i="11"/>
  <c r="K9" i="11"/>
  <c r="L9" i="11"/>
  <c r="M9" i="11"/>
  <c r="K10" i="11"/>
  <c r="L10" i="11"/>
  <c r="M10" i="11"/>
  <c r="K11" i="11"/>
  <c r="L11" i="11"/>
  <c r="M11" i="11"/>
  <c r="K12" i="11"/>
  <c r="L12" i="11"/>
  <c r="M12" i="11"/>
  <c r="K13" i="11"/>
  <c r="L13" i="11"/>
  <c r="M13" i="11"/>
  <c r="K16" i="11"/>
  <c r="L16" i="11"/>
  <c r="M16" i="11"/>
  <c r="K17" i="11"/>
  <c r="L17" i="11"/>
  <c r="M17" i="11"/>
  <c r="K18" i="11"/>
  <c r="L18" i="11"/>
  <c r="M18" i="11"/>
  <c r="K19" i="11"/>
  <c r="L19" i="11"/>
  <c r="M19" i="11"/>
  <c r="K20" i="11"/>
  <c r="L20" i="11"/>
  <c r="M20" i="11"/>
  <c r="K21" i="11"/>
  <c r="L21" i="11"/>
  <c r="M21" i="11"/>
  <c r="K22" i="11"/>
  <c r="L22" i="11"/>
  <c r="M22" i="11"/>
  <c r="K23" i="11"/>
  <c r="L23" i="11"/>
  <c r="M23" i="11"/>
  <c r="K24" i="11"/>
  <c r="L24" i="11"/>
  <c r="M24" i="11"/>
  <c r="K25" i="11"/>
  <c r="L25" i="11"/>
  <c r="M25" i="11"/>
  <c r="K26" i="11"/>
  <c r="L26" i="11"/>
  <c r="M26" i="11"/>
  <c r="K27" i="11"/>
  <c r="L27" i="11"/>
  <c r="M27" i="11"/>
  <c r="K28" i="11"/>
  <c r="L28" i="11"/>
  <c r="M28" i="11"/>
  <c r="K33" i="11"/>
  <c r="L33" i="11"/>
  <c r="M33" i="11"/>
  <c r="K34" i="11"/>
  <c r="L34" i="11"/>
  <c r="M34" i="11"/>
  <c r="K35" i="11"/>
  <c r="L35" i="11"/>
  <c r="M35" i="11"/>
  <c r="K36" i="11"/>
  <c r="L36" i="11"/>
  <c r="M36" i="11"/>
  <c r="K45" i="11"/>
  <c r="L45" i="11"/>
  <c r="M45" i="11"/>
  <c r="K37" i="11"/>
  <c r="L37" i="11"/>
  <c r="M37" i="11"/>
  <c r="K38" i="11"/>
  <c r="L38" i="11"/>
  <c r="M38" i="11"/>
  <c r="K39" i="11"/>
  <c r="L39" i="11"/>
  <c r="M39" i="11"/>
  <c r="K49" i="11"/>
  <c r="L49" i="11"/>
  <c r="M49" i="11"/>
  <c r="K50" i="11"/>
  <c r="L50" i="11"/>
  <c r="M50" i="11"/>
  <c r="K51" i="11"/>
  <c r="L51" i="11"/>
  <c r="M51" i="11"/>
  <c r="K52" i="11"/>
  <c r="L52" i="11"/>
  <c r="M52" i="11"/>
  <c r="K53" i="11"/>
  <c r="L53" i="11"/>
  <c r="M53" i="11"/>
  <c r="K58" i="11"/>
  <c r="L58" i="11"/>
  <c r="M58" i="11"/>
  <c r="K59" i="11"/>
  <c r="L59" i="11"/>
  <c r="M59" i="11"/>
  <c r="K60" i="11"/>
  <c r="L60" i="11"/>
  <c r="M60" i="11"/>
  <c r="K44" i="11"/>
  <c r="L44" i="11"/>
  <c r="M44" i="11"/>
  <c r="K61" i="11"/>
  <c r="L61" i="11"/>
  <c r="M61" i="11"/>
  <c r="K62" i="11"/>
  <c r="L62" i="11"/>
  <c r="M62" i="11"/>
  <c r="K63" i="11"/>
  <c r="L63" i="11"/>
  <c r="M63" i="11"/>
  <c r="K64" i="11"/>
  <c r="L64" i="11"/>
  <c r="M64" i="11"/>
  <c r="K42" i="11"/>
  <c r="L42" i="11"/>
  <c r="M42" i="11"/>
  <c r="K43" i="11"/>
  <c r="L43" i="11"/>
  <c r="M43" i="11"/>
  <c r="M8" i="11"/>
  <c r="L8" i="11"/>
  <c r="K8" i="11"/>
  <c r="J9" i="11"/>
  <c r="J10" i="11"/>
  <c r="J11" i="11"/>
  <c r="J12" i="11"/>
  <c r="H12" i="11" s="1"/>
  <c r="H6" i="16" s="1"/>
  <c r="J13" i="11"/>
  <c r="H13" i="11" s="1"/>
  <c r="H7" i="16" s="1"/>
  <c r="J16" i="11"/>
  <c r="J17" i="11"/>
  <c r="J18" i="11"/>
  <c r="J19" i="11"/>
  <c r="J20" i="11"/>
  <c r="J21" i="11"/>
  <c r="J22" i="11"/>
  <c r="J23" i="11"/>
  <c r="J24" i="11"/>
  <c r="J25" i="11"/>
  <c r="J26" i="11"/>
  <c r="J27" i="11"/>
  <c r="J28" i="11"/>
  <c r="H28" i="11" s="1"/>
  <c r="H14" i="17" s="1"/>
  <c r="J33" i="11"/>
  <c r="H33" i="11" s="1"/>
  <c r="H2" i="19" s="1"/>
  <c r="J34" i="11"/>
  <c r="H34" i="11" s="1"/>
  <c r="H3" i="19" s="1"/>
  <c r="J35" i="11"/>
  <c r="J36" i="11"/>
  <c r="J45" i="11"/>
  <c r="I45" i="11" s="1"/>
  <c r="I5" i="18" s="1"/>
  <c r="J37" i="11"/>
  <c r="J38" i="11"/>
  <c r="J39" i="11"/>
  <c r="J49" i="11"/>
  <c r="J50" i="11"/>
  <c r="H50" i="11" s="1"/>
  <c r="H3" i="20" s="1"/>
  <c r="J51" i="11"/>
  <c r="J52" i="11"/>
  <c r="J53" i="11"/>
  <c r="J58" i="11"/>
  <c r="H58" i="11" s="1"/>
  <c r="H2" i="21" s="1"/>
  <c r="J59" i="11"/>
  <c r="I59" i="11" s="1"/>
  <c r="I3" i="21" s="1"/>
  <c r="J60" i="11"/>
  <c r="I60" i="11" s="1"/>
  <c r="I4" i="21" s="1"/>
  <c r="J44" i="11"/>
  <c r="J61" i="11"/>
  <c r="J62" i="11"/>
  <c r="I62" i="11" s="1"/>
  <c r="I6" i="21" s="1"/>
  <c r="J63" i="11"/>
  <c r="J64" i="11"/>
  <c r="J42" i="11"/>
  <c r="J43" i="11"/>
  <c r="J8" i="11"/>
  <c r="I8" i="11" s="1"/>
  <c r="I2" i="16" s="1"/>
  <c r="N46" i="10"/>
  <c r="M46" i="10"/>
  <c r="L46" i="10"/>
  <c r="K46" i="10"/>
  <c r="J46" i="10"/>
  <c r="I46" i="10"/>
  <c r="N45" i="10"/>
  <c r="M45" i="10"/>
  <c r="L45" i="10"/>
  <c r="K45" i="10"/>
  <c r="J45" i="10"/>
  <c r="I45" i="10"/>
  <c r="N44" i="10"/>
  <c r="M44" i="10"/>
  <c r="L44" i="10"/>
  <c r="K44" i="10"/>
  <c r="J44" i="10"/>
  <c r="I44" i="10"/>
  <c r="N43" i="10"/>
  <c r="M43" i="10"/>
  <c r="L43" i="10"/>
  <c r="K43" i="10"/>
  <c r="J43" i="10"/>
  <c r="I43" i="10"/>
  <c r="N61" i="10"/>
  <c r="M61" i="10"/>
  <c r="L61" i="10"/>
  <c r="K61" i="10"/>
  <c r="J61" i="10"/>
  <c r="I61" i="10"/>
  <c r="N57" i="10"/>
  <c r="M57" i="10"/>
  <c r="L57" i="10"/>
  <c r="K57" i="10"/>
  <c r="J57" i="10"/>
  <c r="I57" i="10"/>
  <c r="O56" i="10"/>
  <c r="N56" i="10"/>
  <c r="M56" i="10"/>
  <c r="L56" i="10"/>
  <c r="K56" i="10"/>
  <c r="J56" i="10"/>
  <c r="I56" i="10"/>
  <c r="O55" i="10"/>
  <c r="N55" i="10"/>
  <c r="M55" i="10"/>
  <c r="L55" i="10"/>
  <c r="K55" i="10"/>
  <c r="J55" i="10"/>
  <c r="I55" i="10"/>
  <c r="O54" i="10"/>
  <c r="N54" i="10"/>
  <c r="M54" i="10"/>
  <c r="L54" i="10"/>
  <c r="K54" i="10"/>
  <c r="J54" i="10"/>
  <c r="I54" i="10"/>
  <c r="O53" i="10"/>
  <c r="N53" i="10"/>
  <c r="M53" i="10"/>
  <c r="L53" i="10"/>
  <c r="K53" i="10"/>
  <c r="J53" i="10"/>
  <c r="I53" i="10"/>
  <c r="O52" i="10"/>
  <c r="N52" i="10"/>
  <c r="M52" i="10"/>
  <c r="L52" i="10"/>
  <c r="K52" i="10"/>
  <c r="J52" i="10"/>
  <c r="I52" i="10"/>
  <c r="O51" i="10"/>
  <c r="N51" i="10"/>
  <c r="M51" i="10"/>
  <c r="L51" i="10"/>
  <c r="K51" i="10"/>
  <c r="J51" i="10"/>
  <c r="I51" i="10"/>
  <c r="N50" i="10"/>
  <c r="M50" i="10"/>
  <c r="L50" i="10"/>
  <c r="K50" i="10"/>
  <c r="J50" i="10"/>
  <c r="I50" i="10"/>
  <c r="N42" i="10"/>
  <c r="M42" i="10"/>
  <c r="L42" i="10"/>
  <c r="K42" i="10"/>
  <c r="J42" i="10"/>
  <c r="I42" i="10"/>
  <c r="N49" i="10"/>
  <c r="M49" i="10"/>
  <c r="L49" i="10"/>
  <c r="K49" i="10"/>
  <c r="J49" i="10"/>
  <c r="I49" i="10"/>
  <c r="O35" i="10"/>
  <c r="N35" i="10"/>
  <c r="M35" i="10"/>
  <c r="L35" i="10"/>
  <c r="K35" i="10"/>
  <c r="J35" i="10"/>
  <c r="O21" i="10"/>
  <c r="N21" i="10"/>
  <c r="M21" i="10"/>
  <c r="L21" i="10"/>
  <c r="K21" i="10"/>
  <c r="J21" i="10"/>
  <c r="I21" i="10"/>
  <c r="O20" i="10"/>
  <c r="N20" i="10"/>
  <c r="M20" i="10"/>
  <c r="L20" i="10"/>
  <c r="K20" i="10"/>
  <c r="J20" i="10"/>
  <c r="I20" i="10"/>
  <c r="O34" i="10"/>
  <c r="N34" i="10"/>
  <c r="M34" i="10"/>
  <c r="L34" i="10"/>
  <c r="K34" i="10"/>
  <c r="J34" i="10"/>
  <c r="I34" i="10"/>
  <c r="O33" i="10"/>
  <c r="N33" i="10"/>
  <c r="M33" i="10"/>
  <c r="L33" i="10"/>
  <c r="K33" i="10"/>
  <c r="J33" i="10"/>
  <c r="I33" i="10"/>
  <c r="O32" i="10"/>
  <c r="N32" i="10"/>
  <c r="M32" i="10"/>
  <c r="L32" i="10"/>
  <c r="K32" i="10"/>
  <c r="J32" i="10"/>
  <c r="I32" i="10"/>
  <c r="N31" i="10"/>
  <c r="M31" i="10"/>
  <c r="L31" i="10"/>
  <c r="K31" i="10"/>
  <c r="J31" i="10"/>
  <c r="I31" i="10"/>
  <c r="O19" i="10"/>
  <c r="N19" i="10"/>
  <c r="M19" i="10"/>
  <c r="L19" i="10"/>
  <c r="K19" i="10"/>
  <c r="J19" i="10"/>
  <c r="I19" i="10"/>
  <c r="O18" i="10"/>
  <c r="N18" i="10"/>
  <c r="M18" i="10"/>
  <c r="L18" i="10"/>
  <c r="K18" i="10"/>
  <c r="J18" i="10"/>
  <c r="I18" i="10"/>
  <c r="O17" i="10"/>
  <c r="N17" i="10"/>
  <c r="M17" i="10"/>
  <c r="L17" i="10"/>
  <c r="K17" i="10"/>
  <c r="J17" i="10"/>
  <c r="I17" i="10"/>
  <c r="O16" i="10"/>
  <c r="N16" i="10"/>
  <c r="M16" i="10"/>
  <c r="L16" i="10"/>
  <c r="K16" i="10"/>
  <c r="J16" i="10"/>
  <c r="I16" i="10"/>
  <c r="O15" i="10"/>
  <c r="N15" i="10"/>
  <c r="M15" i="10"/>
  <c r="L15" i="10"/>
  <c r="K15" i="10"/>
  <c r="J15" i="10"/>
  <c r="I15" i="10"/>
  <c r="N14" i="10"/>
  <c r="M14" i="10"/>
  <c r="L14" i="10"/>
  <c r="K14" i="10"/>
  <c r="J14" i="10"/>
  <c r="I14" i="10"/>
  <c r="N13" i="10"/>
  <c r="M13" i="10"/>
  <c r="L13" i="10"/>
  <c r="K13" i="10"/>
  <c r="J13" i="10"/>
  <c r="I13" i="10"/>
  <c r="O8" i="10"/>
  <c r="N8" i="10"/>
  <c r="M8" i="10"/>
  <c r="L8" i="10"/>
  <c r="K8" i="10"/>
  <c r="J8" i="10"/>
  <c r="I8" i="10"/>
  <c r="O22" i="10"/>
  <c r="N22" i="10"/>
  <c r="M22" i="10"/>
  <c r="L22" i="10"/>
  <c r="K22" i="10"/>
  <c r="J22" i="10"/>
  <c r="I22" i="10"/>
  <c r="O7" i="10"/>
  <c r="N7" i="10"/>
  <c r="M7" i="10"/>
  <c r="L7" i="10"/>
  <c r="K7" i="10"/>
  <c r="J7" i="10"/>
  <c r="I7" i="10"/>
  <c r="O6" i="10"/>
  <c r="N6" i="10"/>
  <c r="M6" i="10"/>
  <c r="L6" i="10"/>
  <c r="K6" i="10"/>
  <c r="J6" i="10"/>
  <c r="I6" i="10"/>
  <c r="O5" i="10"/>
  <c r="N5" i="10"/>
  <c r="M5" i="10"/>
  <c r="L5" i="10"/>
  <c r="K5" i="10"/>
  <c r="J5" i="10"/>
  <c r="I5" i="10"/>
  <c r="N4" i="10"/>
  <c r="M4" i="10"/>
  <c r="L4" i="10"/>
  <c r="K4" i="10"/>
  <c r="J4" i="10"/>
  <c r="I4" i="10"/>
  <c r="N3" i="10"/>
  <c r="M3" i="10"/>
  <c r="L3" i="10"/>
  <c r="K3" i="10"/>
  <c r="J3" i="10"/>
  <c r="I3" i="10"/>
  <c r="G19" i="1"/>
  <c r="G29" i="1"/>
  <c r="G6" i="1"/>
  <c r="G7" i="1"/>
  <c r="G8" i="1"/>
  <c r="G9" i="1"/>
  <c r="G12" i="1"/>
  <c r="G13" i="1"/>
  <c r="G14" i="1"/>
  <c r="G15" i="1"/>
  <c r="G16" i="1"/>
  <c r="G20" i="1"/>
  <c r="G21" i="1"/>
  <c r="G22" i="1"/>
  <c r="G23" i="1"/>
  <c r="G24" i="1"/>
  <c r="G30" i="1"/>
  <c r="G31" i="1"/>
  <c r="G32" i="1"/>
  <c r="G33" i="1"/>
  <c r="G34" i="1"/>
  <c r="G35" i="1"/>
  <c r="G38" i="1"/>
  <c r="G39" i="1"/>
  <c r="G40" i="1"/>
  <c r="G5" i="1"/>
  <c r="N6" i="1"/>
  <c r="N7" i="1"/>
  <c r="N8" i="1"/>
  <c r="N9" i="1"/>
  <c r="N12" i="1"/>
  <c r="N13" i="1"/>
  <c r="N14" i="1"/>
  <c r="N15" i="1"/>
  <c r="N16" i="1"/>
  <c r="N19" i="1"/>
  <c r="N20" i="1"/>
  <c r="N21" i="1"/>
  <c r="N22" i="1"/>
  <c r="N23" i="1"/>
  <c r="N24" i="1"/>
  <c r="N25" i="1"/>
  <c r="N29" i="1"/>
  <c r="N30" i="1"/>
  <c r="N31" i="1"/>
  <c r="N32" i="1"/>
  <c r="N33" i="1"/>
  <c r="N34" i="1"/>
  <c r="N5" i="1"/>
  <c r="I19" i="11" l="1"/>
  <c r="I5" i="17" s="1"/>
  <c r="H16" i="11"/>
  <c r="H2" i="17" s="1"/>
  <c r="I18" i="11"/>
  <c r="I4" i="17" s="1"/>
  <c r="I61" i="11"/>
  <c r="I5" i="21" s="1"/>
  <c r="I36" i="11"/>
  <c r="I5" i="19" s="1"/>
  <c r="I44" i="11"/>
  <c r="I4" i="18" s="1"/>
  <c r="H35" i="11"/>
  <c r="H4" i="19" s="1"/>
  <c r="H17" i="11"/>
  <c r="H3" i="17" s="1"/>
  <c r="H53" i="11"/>
  <c r="H6" i="20" s="1"/>
  <c r="I10" i="11"/>
  <c r="I4" i="16" s="1"/>
  <c r="H51" i="11"/>
  <c r="H4" i="20" s="1"/>
  <c r="I9" i="11"/>
  <c r="I3" i="16" s="1"/>
  <c r="I24" i="11"/>
  <c r="I10" i="17" s="1"/>
  <c r="I43" i="11"/>
  <c r="I3" i="18" s="1"/>
  <c r="I49" i="11"/>
  <c r="I2" i="20" s="1"/>
  <c r="I23" i="11"/>
  <c r="I9" i="17" s="1"/>
  <c r="H11" i="11"/>
  <c r="H5" i="16" s="1"/>
  <c r="I26" i="11"/>
  <c r="I12" i="17" s="1"/>
  <c r="I42" i="11"/>
  <c r="I2" i="18" s="1"/>
  <c r="I39" i="11"/>
  <c r="I8" i="19" s="1"/>
  <c r="I22" i="11"/>
  <c r="I8" i="17" s="1"/>
  <c r="H27" i="11"/>
  <c r="H13" i="17" s="1"/>
  <c r="H52" i="11"/>
  <c r="H5" i="20" s="1"/>
  <c r="I64" i="11"/>
  <c r="I8" i="21" s="1"/>
  <c r="I38" i="11"/>
  <c r="I7" i="19" s="1"/>
  <c r="I21" i="11"/>
  <c r="I7" i="17" s="1"/>
  <c r="I25" i="11"/>
  <c r="I11" i="17" s="1"/>
  <c r="I63" i="11"/>
  <c r="I7" i="21" s="1"/>
  <c r="I37" i="11"/>
  <c r="I6" i="19" s="1"/>
  <c r="I20" i="11"/>
  <c r="I6" i="17" s="1"/>
  <c r="H49" i="11"/>
  <c r="H2" i="20" s="1"/>
  <c r="H26" i="11"/>
  <c r="H12" i="17" s="1"/>
  <c r="H10" i="11"/>
  <c r="H4" i="16" s="1"/>
  <c r="I58" i="11"/>
  <c r="I2" i="21" s="1"/>
  <c r="I35" i="11"/>
  <c r="I4" i="19" s="1"/>
  <c r="I17" i="11"/>
  <c r="I3" i="17" s="1"/>
  <c r="H45" i="11"/>
  <c r="H5" i="18" s="1"/>
  <c r="H25" i="11"/>
  <c r="H11" i="17" s="1"/>
  <c r="H9" i="11"/>
  <c r="H3" i="16" s="1"/>
  <c r="I53" i="11"/>
  <c r="I6" i="20" s="1"/>
  <c r="I34" i="11"/>
  <c r="I3" i="19" s="1"/>
  <c r="I16" i="11"/>
  <c r="I2" i="17" s="1"/>
  <c r="H8" i="11"/>
  <c r="H2" i="16" s="1"/>
  <c r="H44" i="11"/>
  <c r="H4" i="18" s="1"/>
  <c r="H24" i="11"/>
  <c r="H10" i="17" s="1"/>
  <c r="I52" i="11"/>
  <c r="I5" i="20" s="1"/>
  <c r="I33" i="11"/>
  <c r="I2" i="19" s="1"/>
  <c r="H64" i="11"/>
  <c r="H8" i="21" s="1"/>
  <c r="H43" i="11"/>
  <c r="H3" i="18" s="1"/>
  <c r="H23" i="11"/>
  <c r="H9" i="17" s="1"/>
  <c r="I13" i="11"/>
  <c r="I7" i="16" s="1"/>
  <c r="I51" i="11"/>
  <c r="I4" i="20" s="1"/>
  <c r="I28" i="11"/>
  <c r="I14" i="17" s="1"/>
  <c r="H63" i="11"/>
  <c r="H7" i="21" s="1"/>
  <c r="H42" i="11"/>
  <c r="H2" i="18" s="1"/>
  <c r="H22" i="11"/>
  <c r="H8" i="17" s="1"/>
  <c r="I12" i="11"/>
  <c r="I6" i="16" s="1"/>
  <c r="I50" i="11"/>
  <c r="I3" i="20" s="1"/>
  <c r="I27" i="11"/>
  <c r="I13" i="17" s="1"/>
  <c r="H62" i="11"/>
  <c r="H6" i="21" s="1"/>
  <c r="H39" i="11"/>
  <c r="H8" i="19" s="1"/>
  <c r="H21" i="11"/>
  <c r="H7" i="17" s="1"/>
  <c r="I11" i="11"/>
  <c r="I5" i="16" s="1"/>
  <c r="H61" i="11"/>
  <c r="H5" i="21" s="1"/>
  <c r="H38" i="11"/>
  <c r="H7" i="19" s="1"/>
  <c r="H20" i="11"/>
  <c r="H6" i="17" s="1"/>
  <c r="H60" i="11"/>
  <c r="H4" i="21" s="1"/>
  <c r="H37" i="11"/>
  <c r="H6" i="19" s="1"/>
  <c r="H19" i="11"/>
  <c r="H5" i="17" s="1"/>
  <c r="H59" i="11"/>
  <c r="H3" i="21" s="1"/>
  <c r="H36" i="11"/>
  <c r="H5" i="19" s="1"/>
  <c r="H18" i="11"/>
  <c r="H4" i="17" s="1"/>
  <c r="H45" i="10"/>
  <c r="G33" i="10"/>
  <c r="G20" i="10"/>
  <c r="H35" i="10"/>
  <c r="G44" i="10"/>
  <c r="H34" i="10"/>
  <c r="H15" i="10"/>
  <c r="H51" i="10"/>
  <c r="G21" i="10"/>
  <c r="H17" i="10"/>
  <c r="H20" i="10"/>
  <c r="H32" i="10"/>
  <c r="H19" i="10"/>
  <c r="G6" i="10"/>
  <c r="H22" i="10"/>
  <c r="H52" i="10"/>
  <c r="H54" i="10"/>
  <c r="G56" i="10"/>
  <c r="G55" i="10"/>
  <c r="H5" i="10"/>
  <c r="G18" i="10"/>
  <c r="G5" i="10"/>
  <c r="G53" i="10"/>
  <c r="H57" i="10"/>
  <c r="G8" i="10"/>
  <c r="G16" i="10"/>
  <c r="G57" i="10"/>
  <c r="G45" i="10"/>
  <c r="H7" i="10"/>
  <c r="H18" i="10"/>
  <c r="G7" i="10"/>
  <c r="H8" i="10"/>
  <c r="G51" i="10"/>
  <c r="H53" i="10"/>
  <c r="H55" i="10"/>
  <c r="G46" i="10"/>
  <c r="G35" i="10"/>
  <c r="H33" i="10"/>
  <c r="H16" i="10"/>
  <c r="H6" i="10"/>
  <c r="G34" i="10"/>
  <c r="G32" i="10"/>
  <c r="G19" i="10"/>
  <c r="H46" i="10"/>
  <c r="G17" i="10"/>
  <c r="H44" i="10"/>
  <c r="G54" i="10"/>
  <c r="G15" i="10"/>
  <c r="H56" i="10"/>
  <c r="G52" i="10"/>
  <c r="G22" i="10"/>
  <c r="H21" i="10"/>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3" i="1"/>
  <c r="H4" i="1"/>
  <c r="H5" i="1"/>
  <c r="H6" i="1"/>
  <c r="H7" i="1"/>
  <c r="H8" i="1"/>
  <c r="H9" i="1"/>
  <c r="H10" i="1"/>
  <c r="H11" i="1"/>
  <c r="H12" i="1"/>
  <c r="H13" i="1"/>
  <c r="H14" i="1"/>
  <c r="H15" i="1"/>
  <c r="H16" i="1"/>
  <c r="H17" i="1"/>
  <c r="H18" i="1"/>
  <c r="H19" i="1"/>
  <c r="H20" i="1"/>
  <c r="H21" i="1"/>
  <c r="H22" i="1"/>
  <c r="H23" i="1"/>
  <c r="H25" i="1"/>
  <c r="H26" i="1"/>
  <c r="H27" i="1"/>
  <c r="H28" i="1"/>
  <c r="H29" i="1"/>
  <c r="H30" i="1"/>
  <c r="H31" i="1"/>
  <c r="H32" i="1"/>
  <c r="H33" i="1"/>
  <c r="H34" i="1"/>
  <c r="H35" i="1"/>
  <c r="H36" i="1"/>
  <c r="H37" i="1"/>
  <c r="H38" i="1"/>
  <c r="H39" i="1"/>
  <c r="H40" i="1"/>
  <c r="H3" i="1"/>
</calcChain>
</file>

<file path=xl/sharedStrings.xml><?xml version="1.0" encoding="utf-8"?>
<sst xmlns="http://schemas.openxmlformats.org/spreadsheetml/2006/main" count="4462" uniqueCount="363">
  <si>
    <t>VARIABLES</t>
  </si>
  <si>
    <t>REFERENCE</t>
  </si>
  <si>
    <t>DESCRIPTION</t>
  </si>
  <si>
    <t>TIMESCALE</t>
  </si>
  <si>
    <t>RESOLUTION</t>
  </si>
  <si>
    <t>DOI</t>
  </si>
  <si>
    <t>SCORING (1-5, 5 being the most important) </t>
  </si>
  <si>
    <t>PHYSICAL SYSTEM</t>
  </si>
  <si>
    <t>This system includes variables regarding the physical properties of the environment in the area that is not being influenced by human actions</t>
  </si>
  <si>
    <t>-</t>
  </si>
  <si>
    <t>Soil Subsystem</t>
  </si>
  <si>
    <t>This sub system concentrate on variables that are related to the soil</t>
  </si>
  <si>
    <t>Soil organic carbon (SOC)</t>
  </si>
  <si>
    <t>Poggio et al. 2021</t>
  </si>
  <si>
    <t>SOC shows the amount of soil organic carbon in each area from 0-60cm of depths</t>
  </si>
  <si>
    <t>1960-2020 (mean)</t>
  </si>
  <si>
    <t>250 m cellsize ~0.25 arcminute</t>
  </si>
  <si>
    <t>https://files.isric.org/soilgrids/latest/</t>
  </si>
  <si>
    <t>x</t>
  </si>
  <si>
    <t>Clay-silt content</t>
  </si>
  <si>
    <t>Clay-silt shows the combined amount of clay and silt in the soil from 0-60cm depths</t>
  </si>
  <si>
    <t>Soil plant available phosphorous</t>
  </si>
  <si>
    <t>McDowell et al. 2023</t>
  </si>
  <si>
    <t>Amount of phosphorous that is available for plant to absorb from the soil from 0-20cm depth</t>
  </si>
  <si>
    <t>2000-2019 (mean)</t>
  </si>
  <si>
    <t>0.5 arcminute</t>
  </si>
  <si>
    <t>https://figshare.com/articles/dataset/Global_Available_Soil_Phosphorus_Database/14241854</t>
  </si>
  <si>
    <t>Evapotranspiration</t>
  </si>
  <si>
    <t>Zhang et al. 2024</t>
  </si>
  <si>
    <t>This shows the amount of evapotranspiration in the area</t>
  </si>
  <si>
    <t>1982-2020</t>
  </si>
  <si>
    <t>6 arcminutes</t>
  </si>
  <si>
    <t>Zhang, K., Chen, H., Ma, N. et al. A global dataset of terrestrial evapotranspiration and soil moisture dynamics from 1982 to 2020. Sci Data 11, 445 (2024). https://doi.org/10.1038/s41597-024-03271-7</t>
  </si>
  <si>
    <t>Soil Moisture</t>
  </si>
  <si>
    <t>Amount of soil moisture throughout the layers along the vertical root distribution</t>
  </si>
  <si>
    <t>Other variables?</t>
  </si>
  <si>
    <t>Climate Subsystem</t>
  </si>
  <si>
    <t>This subsystem focus on the climatic variables</t>
  </si>
  <si>
    <t>Aridity index</t>
  </si>
  <si>
    <t>Lu et al. 2025</t>
  </si>
  <si>
    <t>Aridity index is used to determine the aridity in the area by looking at, for example, precipitation or evapotranspiration values</t>
  </si>
  <si>
    <t>2003-2022</t>
  </si>
  <si>
    <t>3 arcminute</t>
  </si>
  <si>
    <t>Lu, J., Yao, L., Qin, J., Jiang, H., &amp; Zhou, C. (2025). Global reconstruction of gridded aridity index and its spatial and temporal characterization from 2003 to 2022. International Journal of Digital Earth, 18(1). https://doi.org/10.1080/17538947.2025.2473639</t>
  </si>
  <si>
    <t>Precipitation (MSWEP)</t>
  </si>
  <si>
    <t>Beck et al. 2019</t>
  </si>
  <si>
    <t>MSWEP shows the 3 hourly precipitation data from 1979 to 2017</t>
  </si>
  <si>
    <t>1979-2017 (annual mean)</t>
  </si>
  <si>
    <t>6 arcminute</t>
  </si>
  <si>
    <t>Beck, H. E., E. F. Wood, M. Pan, C. K. Fisher, D. G. Miralles, A. I. J. M. van Dijk, T. R. McVicar, and R. F. Adler, 2019: MSWEP V2 Global 3-Hourly 0.1° Precipitation: Methodology and Quantitative Assessment. Bull. Amer. Meteor. Soc.,  100, 473–500,  https://doi.org/10.1175/BAMS-D-17-0138.1</t>
  </si>
  <si>
    <t>Growing degree days</t>
  </si>
  <si>
    <t>Beck et al. 2022</t>
  </si>
  <si>
    <t>This measure the accumulated heat above certain base temperature which can estimate the growth and development of plants and insects</t>
  </si>
  <si>
    <t>1979-2025</t>
  </si>
  <si>
    <t>Beck, H.E. et al. (2022) ‘MSWX: Global 3-Hourly 0.1° Bias-Corrected Meteorological Data Including Near-Real-Time Updates and Forecast Ensembles’. Available at: https://doi.org/10.1175/BAMS-D-21-0145.1.</t>
  </si>
  <si>
    <t>Drought index (SPEI)</t>
  </si>
  <si>
    <t>Solomon et al. 2023</t>
  </si>
  <si>
    <t>Drought index (SPEI) was calculated from two precipitation and two evapotranspiration datasets</t>
  </si>
  <si>
    <t>1981-2022</t>
  </si>
  <si>
    <t>5km gridded ~2.5 arcminute</t>
  </si>
  <si>
    <t>Gebrechorkos, S. H., Peng, J., Dyer, E., Miralles, D. G., Vicente-Serrano, S. M., Funk, C., Beck, H. E., Asfaw, D. T., Singer, M. B., and Dadson, S. J.: Global high-resolution drought indices for 1981–2022, Earth Syst. Sci. Data, 15, 5449–5466, https://doi.org/10.5194/essd-15-5449-2023</t>
  </si>
  <si>
    <t>Warm spell duration index (WSDI)</t>
  </si>
  <si>
    <t>This indicator shows the amount of conscutive days that the temperature is high (drought).</t>
  </si>
  <si>
    <t>HUMAN SYSTEM</t>
  </si>
  <si>
    <t>Human system includes the effect from human towards the crop production system including practices that human has used to influence the crop production as well as the socio-economic variables that affect agriculture workers or policies</t>
  </si>
  <si>
    <t>Management Subsystem</t>
  </si>
  <si>
    <t>This subsystem includes variables that is related to management</t>
  </si>
  <si>
    <t>Field size</t>
  </si>
  <si>
    <t>Lesiv et al. 2019</t>
  </si>
  <si>
    <t>Field size shows the categorial data of field size from 1-5</t>
  </si>
  <si>
    <t>~0.3 arcminute</t>
  </si>
  <si>
    <t>https://pure.iiasa.ac.at/id/eprint/15526/</t>
  </si>
  <si>
    <t>Pesticide application rate</t>
  </si>
  <si>
    <t>Maggi et al. 2019</t>
  </si>
  <si>
    <t>Application rate of pesticide per each crop</t>
  </si>
  <si>
    <t>2015-2025</t>
  </si>
  <si>
    <t>5 arcminute</t>
  </si>
  <si>
    <t>https://figshare.com/articles/dataset/PEST-CHEMGRIDS_v1/7764014/5</t>
  </si>
  <si>
    <t>N fertilizer application rate</t>
  </si>
  <si>
    <t>Adalibieke et al. 2023</t>
  </si>
  <si>
    <t>This shows the N fertilizer application rate for each crop</t>
  </si>
  <si>
    <t>1961-2020</t>
  </si>
  <si>
    <t>https://data.tpdc.ac.cn/en/data/1e31ad1f-5904-4b49-8796-b379c37e7dba</t>
  </si>
  <si>
    <t>Fraction of irrigated cropland</t>
  </si>
  <si>
    <t>Kebede et al. 2025</t>
  </si>
  <si>
    <t>Fraction of irrigated cropland with the total cropland area in each grid</t>
  </si>
  <si>
    <t>2000-2015</t>
  </si>
  <si>
    <t>https://doi.org/10.1038/s41597-024-04313-w</t>
  </si>
  <si>
    <t>Machinery</t>
  </si>
  <si>
    <t>USDA 2023</t>
  </si>
  <si>
    <t>Amount of machinery used in 1000 horsepower (CV) in metric unit per 100 hectares of cropland in each country</t>
  </si>
  <si>
    <t>Country</t>
  </si>
  <si>
    <t>October 2024 update has remove the data</t>
  </si>
  <si>
    <t>Agricultural workers</t>
  </si>
  <si>
    <t>FAO 2023</t>
  </si>
  <si>
    <t>Number of agricultural workers in each country</t>
  </si>
  <si>
    <t>1991-2020</t>
  </si>
  <si>
    <t>https://www.fao.org/faostat/en/#data/OEA</t>
  </si>
  <si>
    <t>Human pressure (NPP Act / NPP Pot)</t>
  </si>
  <si>
    <t>Matej et al. 2025</t>
  </si>
  <si>
    <t>This shows the human influence on the biomass in Net Primary Production (NPP) in the ecosystem through land use by dividing NPP actual with NPP potential</t>
  </si>
  <si>
    <t>1992-2020</t>
  </si>
  <si>
    <t>Matej, S., Weidinger, F., Kaufmann, L. et al. A global land-use data cube 1992–2020 based on the Human Appropriation of Net Primary Production. Sci Data 12, 511 (2025). https://doi.org/10.1038/s41597-025-04788-1</t>
  </si>
  <si>
    <t>Socio-economic Subsytem</t>
  </si>
  <si>
    <t>This subsystem consisted of socio-economic variables</t>
  </si>
  <si>
    <t>GNI</t>
  </si>
  <si>
    <t>Matti Kummu</t>
  </si>
  <si>
    <t>Gross National Income shows the values of national income for each country</t>
  </si>
  <si>
    <t>1990-2021</t>
  </si>
  <si>
    <t>admin 2</t>
  </si>
  <si>
    <t>Years of schooling</t>
  </si>
  <si>
    <t>This shows the amount of average years of schooling in the population</t>
  </si>
  <si>
    <t>admin 1</t>
  </si>
  <si>
    <t>Governance index</t>
  </si>
  <si>
    <t>Governance inis based on World Bank Group (Worldwide Governance Indicators) which shows how good is the governance</t>
  </si>
  <si>
    <t>admin 0</t>
  </si>
  <si>
    <t>Crop-field system is currently considered to be between the two main systems (Physical and Human). This system focuses on the variables that are related to crop species</t>
  </si>
  <si>
    <t>Diversity of crops</t>
  </si>
  <si>
    <t>Sara Heikonen / Heikonen et al. 2025</t>
  </si>
  <si>
    <t>Diversity of crops (30 major food crop types based on SPAM crops)</t>
  </si>
  <si>
    <t>1990-2020</t>
  </si>
  <si>
    <t>https://mapspam.info/data/</t>
  </si>
  <si>
    <t>Fraction of cropland per total land area</t>
  </si>
  <si>
    <t>This variable captures the intensity of the cropland in each area by calculating the fraction of actual cropland in the cropland area</t>
  </si>
  <si>
    <t>Kilo-calories produced from crops (from SPAM)</t>
  </si>
  <si>
    <t>SPAM 2000, SPAM 2005, SPAM 2010, SPAM 2020</t>
  </si>
  <si>
    <t>Shows the amount of kilo-calories being produced from SPAM crops classes</t>
  </si>
  <si>
    <t>2000-2020</t>
  </si>
  <si>
    <t>Harvested crop products (HANPP)</t>
  </si>
  <si>
    <t>Shows the amount of mass of carbon being harvested from 22 crop classes</t>
  </si>
  <si>
    <t>Potential Net primary production (NPP Pot)</t>
  </si>
  <si>
    <t>Potential biomass that is available in each area from agriculture and forestry.</t>
  </si>
  <si>
    <t>Greenhouse gas emissions from cropland</t>
  </si>
  <si>
    <t>Cao et al. 2025 (Preprint)</t>
  </si>
  <si>
    <t>Emission of carbon dioxide, methane, and nitrous oxide from 46 crops circa 2020</t>
  </si>
  <si>
    <t>https://doi.org/10.21203/rs.3.rs-6622054/v1</t>
  </si>
  <si>
    <t>Addtional comments/variables?</t>
  </si>
  <si>
    <t>soil pH?</t>
  </si>
  <si>
    <t>frost days?</t>
  </si>
  <si>
    <t>Crop-field Subsystem</t>
  </si>
  <si>
    <t>importance may depend on the framing a little bit</t>
  </si>
  <si>
    <t>Surface vs groundwater sourced irrigation water? this is available in GMIA</t>
  </si>
  <si>
    <t>all 3 as somewhat proxy datasets</t>
  </si>
  <si>
    <t>Renewable water availability</t>
  </si>
  <si>
    <t>Crop-specific yield (irrig./rainfed); crop-specific harvested area (irrig./rainfed)</t>
  </si>
  <si>
    <t>Blue and green crop water requirements</t>
  </si>
  <si>
    <t>(*potential* evapotranspiration would get a high score)</t>
  </si>
  <si>
    <t>Simone Gingrich</t>
  </si>
  <si>
    <t>SG: I would add potential NPP here instead of in the cropping system. It describes natural conditions, rather than management</t>
  </si>
  <si>
    <t>SG: there is some overlap between lines 19, 21 and 22 - I find them all relevant though.</t>
  </si>
  <si>
    <t>SG: harvested crop products is not HANPP but HANPPharv.</t>
  </si>
  <si>
    <t>SG: should go to climate system</t>
  </si>
  <si>
    <t>SG: how about: dominant crop? Similarly, something on livestock (e.g., number of livestock units per unit cropland). Finally (but not sure how easy this might be to obtain/develop): something on trees on cropland to identify agroforestry, and biomass C stocks on croplands?</t>
  </si>
  <si>
    <t>crop production perspective</t>
  </si>
  <si>
    <t>sustainability perspective</t>
  </si>
  <si>
    <t>proxy for fertility, overlap with N, P, water holding capacity for crop modeling, indicator for soil health for sustainability</t>
  </si>
  <si>
    <t>driver of water holding capacity</t>
  </si>
  <si>
    <t>P is also heavily fertilized if needed, so not a constraint in systems with access to inputs. Soil characteristics that immobilize P would be more interesting</t>
  </si>
  <si>
    <t>I assume this is some kind of reference ET? It of course depends on the management</t>
  </si>
  <si>
    <t>this is something very dynamic and a function of management</t>
  </si>
  <si>
    <t>if you include P availabitity, why not N availability?</t>
  </si>
  <si>
    <t>overlap with soil moisture?</t>
  </si>
  <si>
    <t>annual means may not be too meaningful. It would allow for "wettest 3 consecutive months" and "wettest 3 consecutive month in rest 9" </t>
  </si>
  <si>
    <t>not interesting at the annual scale. More interesting would be a return interval of droughts during the growing season</t>
  </si>
  <si>
    <t>same here. Interesting only, if overlaps with growing season or if expressed as a return period during the growing season</t>
  </si>
  <si>
    <t>proxy maybe for making use of ecosystem services in agriculture, resilience etc. No direct relevancy for crop production if not part of an integrated management system</t>
  </si>
  <si>
    <t>indicator for fertility (with other such as SOC) or intensity pressure</t>
  </si>
  <si>
    <t>see comment above on P: why is N treated differently from P?</t>
  </si>
  <si>
    <t>amounts of irrigation water used, actual crops being irrigated are interesting, too</t>
  </si>
  <si>
    <t>Maybe Gini index?</t>
  </si>
  <si>
    <t>The soil subsystem is the most unfamiliar for me from the systems included and therefore my responses in this category have the most uncertainty. I would assume that the SOC and the soil evapotransporation and soil moisture are the most important characteristics to determine the food production potential.</t>
  </si>
  <si>
    <t>From the climate subsystem I would assume that the precipitation is the most important one, followed by aridity index (linked to precipitation) and growing degree days that determine the potential for different plants.</t>
  </si>
  <si>
    <t>From the crop-field subsystem I assume that the NPP Pot is the most important that determines the food system potential. The other variables are determined by human activities and can change if human activities in the area change, so from those the HANPP and kilocalories produced from crops and diversity of crops describe best the producion system in the area.</t>
  </si>
  <si>
    <t>Some additional variable that would describe the link to livestock systems? Describing whether the crop production is focused solely in crop production or it takes place in mixed crop-livesrock systems? This has relevance to nutrient recycling, etc.</t>
  </si>
  <si>
    <t>From the management system I rated the field size as the most important factor, followed by pesticide application, N fertilizer application rate and irrigation since they characterize the production system and its intensity well. </t>
  </si>
  <si>
    <t>Share of production going for exports?</t>
  </si>
  <si>
    <t>I gave the socio-economic factors lower scores since I think you can characterize a food system without them, but not without describing the climate, crop-field or management system. However, I do consider these also important factors to be considered since they do impact the food production system although sometimes in an indirect manner.</t>
  </si>
  <si>
    <t>2/3</t>
  </si>
  <si>
    <t>XH</t>
  </si>
  <si>
    <t>KD</t>
  </si>
  <si>
    <t>DG</t>
  </si>
  <si>
    <t>SG</t>
  </si>
  <si>
    <t>CM</t>
  </si>
  <si>
    <t>VS</t>
  </si>
  <si>
    <t>Round1 - Chosen varaibles</t>
  </si>
  <si>
    <t>Soil SubSystem</t>
  </si>
  <si>
    <t>Climate SubSystem</t>
  </si>
  <si>
    <t>Crop-field SubSystem</t>
  </si>
  <si>
    <t>Management SubSystem</t>
  </si>
  <si>
    <t>Recommended variables</t>
  </si>
  <si>
    <t>Soil pH</t>
  </si>
  <si>
    <t>Frost days</t>
  </si>
  <si>
    <t>Surface vs Groundwater sourced irrigation water</t>
  </si>
  <si>
    <t>Dominant crops</t>
  </si>
  <si>
    <t>Number of livestocks per unit cropland</t>
  </si>
  <si>
    <t>Trees on cropland</t>
  </si>
  <si>
    <t>Share of productions going for exports</t>
  </si>
  <si>
    <t>Soil plant available nitrogen</t>
  </si>
  <si>
    <t>Precipitation (wettest 3 consecutive months)</t>
  </si>
  <si>
    <t>Frequency of droughts during growing season</t>
  </si>
  <si>
    <t>Frequency of dry spells during growing season</t>
  </si>
  <si>
    <t>P fertilizer application</t>
  </si>
  <si>
    <t>Amounts of irrigation water used</t>
  </si>
  <si>
    <t>Amounts of actual crops being irrigated</t>
  </si>
  <si>
    <t>GINI index</t>
  </si>
  <si>
    <t>Aridity index (Create)</t>
  </si>
  <si>
    <t>Ashwath</t>
  </si>
  <si>
    <t>Evapotranspiration (Ashwath) - GLEAM</t>
  </si>
  <si>
    <t>FAO / master's thesis</t>
  </si>
  <si>
    <t>Look into growing degree days and which seasons are you looking into. Also, which crop calendar</t>
  </si>
  <si>
    <t>Harvested crop products (HANPPharv) - Puhti</t>
  </si>
  <si>
    <t>Field size - Also okay if use for one year</t>
  </si>
  <si>
    <t>SPAM possibly</t>
  </si>
  <si>
    <t>until 2010, maybe 2020 would be better</t>
  </si>
  <si>
    <t>Soil grid</t>
  </si>
  <si>
    <t>Google this (US researcher Muller something something)</t>
  </si>
  <si>
    <t>Total area equipped for irrigation - AQUASTAT</t>
  </si>
  <si>
    <t>Soil Moisture (Ashwath) -&gt; Available on Puhti - GLEAM / NCAR / ISMN</t>
  </si>
  <si>
    <t>NPK Fertilizer application rate</t>
  </si>
  <si>
    <t>Coello et al. 2025</t>
  </si>
  <si>
    <t>Potential Evaporation -GLEAM</t>
  </si>
  <si>
    <t>Access to market</t>
  </si>
  <si>
    <t>Human population?</t>
  </si>
  <si>
    <t>Growing degree days (Create)</t>
  </si>
  <si>
    <t>Should be able to do it</t>
  </si>
  <si>
    <t>YES</t>
  </si>
  <si>
    <t>Probably yes</t>
  </si>
  <si>
    <t>For this variable I would need to look at the growing season of each crop individually and then assess it</t>
  </si>
  <si>
    <t>Renewable water availability -&gt; Total renewable water resources</t>
  </si>
  <si>
    <t>AQUASTAT</t>
  </si>
  <si>
    <t>country-level data</t>
  </si>
  <si>
    <t>It could be either potential ET or actual ET. If actual ET over the cropland area, it directly relates to the WF=ET/Y</t>
  </si>
  <si>
    <t>very close to ET (ET/P)</t>
  </si>
  <si>
    <t>maybe too related to aridity index</t>
  </si>
  <si>
    <t>not sure</t>
  </si>
  <si>
    <t>CD</t>
  </si>
  <si>
    <t>1964-2022</t>
  </si>
  <si>
    <t>Details of each crop</t>
  </si>
  <si>
    <t>GAEZ Data Portal (FAO)</t>
  </si>
  <si>
    <t>MOD44B.061 Terra Vegetation Continuous Fields</t>
  </si>
  <si>
    <t>250m</t>
  </si>
  <si>
    <t>2000-2024</t>
  </si>
  <si>
    <t>Need to create -&gt; e.g. PCAM (30arcminute/1961-2014)</t>
  </si>
  <si>
    <t>only 2015</t>
  </si>
  <si>
    <t>WATNEEDS</t>
  </si>
  <si>
    <t>FAOSTAT</t>
  </si>
  <si>
    <t>1961-2023</t>
  </si>
  <si>
    <t>Grazing land vs. Crop land (GL/CL)</t>
  </si>
  <si>
    <t>The most grown crop (categorial data)</t>
  </si>
  <si>
    <t>HYDE, HANPP</t>
  </si>
  <si>
    <t>Bio climate variables -&gt; Ask Ashwath</t>
  </si>
  <si>
    <t>https://data.apps.fao.org/aquastat/?lang=en</t>
  </si>
  <si>
    <t>Mean</t>
  </si>
  <si>
    <t>Median</t>
  </si>
  <si>
    <t>Harvested crop products (HANPPharv)</t>
  </si>
  <si>
    <t>Add -&gt; Frost days</t>
  </si>
  <si>
    <t>Add -&gt; Ratio of surface and groundwater sourced irrigation water</t>
  </si>
  <si>
    <t>Add -&gt; Dominant crops</t>
  </si>
  <si>
    <t>Add -&gt; Soil plant available nitrogen</t>
  </si>
  <si>
    <t>Add -&gt; Share of productions going for exports</t>
  </si>
  <si>
    <t>Add -&gt; NPK fertilizer application rate</t>
  </si>
  <si>
    <t>Amount of nitrogen that is available for plant to absorb from the soil</t>
  </si>
  <si>
    <t>Amount of phosphorous that is available for plant to absorb from the soil</t>
  </si>
  <si>
    <t>SOC shows the amount of soil organic carbon in each area</t>
  </si>
  <si>
    <t>Clay-silt shows the combined amount of clay and silt in the soil</t>
  </si>
  <si>
    <t>Aridity index*</t>
  </si>
  <si>
    <t>Drought index (SPEI)*</t>
  </si>
  <si>
    <t>Evapotranspiration*</t>
  </si>
  <si>
    <t>*Note: Might only choose one variable out of these four</t>
  </si>
  <si>
    <t>Miralles, D.G., Bonte, O., Koppa, A. et al. 2025</t>
  </si>
  <si>
    <t>1980-2023</t>
  </si>
  <si>
    <t>https://doi.org/10.1038/s41597-025-04610-y</t>
  </si>
  <si>
    <t>Number of days with temperature below 0 celsius</t>
  </si>
  <si>
    <t>DiMiceli et al. 2022</t>
  </si>
  <si>
    <t>https://doi.org/10.5067/MODIS/MOD44B.061</t>
  </si>
  <si>
    <t>Add -&gt; Blue and Green crop water requirement (WATNEEDS)</t>
  </si>
  <si>
    <t>Add -&gt; Potential Evaporation/Evapotranspiration* (GLEAM)</t>
  </si>
  <si>
    <t>Add -&gt; Frequency of droughts during growing season (MSWX)</t>
  </si>
  <si>
    <t>Add -&gt; Frequency of dry spells during growing season (MSWX)</t>
  </si>
  <si>
    <t>Add -&gt; Precipitation (wettest 3 consecutive months) (MSWEP/MSWX)</t>
  </si>
  <si>
    <t>Add -&gt; Trees on cropland (MODIS)</t>
  </si>
  <si>
    <t>Amount of pH values in soil</t>
  </si>
  <si>
    <t>The most common crop being grown in each grid</t>
  </si>
  <si>
    <t>Ratio of trees or non-trees on croplands</t>
  </si>
  <si>
    <t>Ratio of amont of grazing land over cropland per grid area</t>
  </si>
  <si>
    <t xml:space="preserve">Nitrogen, Phosphorous, and Potassium fertilizer applications for crops </t>
  </si>
  <si>
    <t>Amount of water resources that is renewable</t>
  </si>
  <si>
    <t>Amount of productions being sent for exports in location</t>
  </si>
  <si>
    <t>Ration of amount of irrigation water from surface vs groundwater</t>
  </si>
  <si>
    <t>Amount of evaporation in each grid</t>
  </si>
  <si>
    <t>The combination of three consecutive monthly precipitation data which has the highest precipitation total value</t>
  </si>
  <si>
    <t>The number consecutive 5-7 days of little or no rainfall and compared this growing season for each year</t>
  </si>
  <si>
    <t>Calculate from monthly drought index and overlay with the growing season days of each year</t>
  </si>
  <si>
    <t>2000, 2016</t>
  </si>
  <si>
    <t>Amount of green water (ET) and blue water (irrigation) required for crops</t>
  </si>
  <si>
    <t>https://doi.org/10.1038/s41597-020-00612-0</t>
  </si>
  <si>
    <t>Chiarelli, D.D., Passera, C., Rosa, L. et al.</t>
  </si>
  <si>
    <t>Jackson, Nicole D., et al. 2019</t>
  </si>
  <si>
    <t>https://doi.org/10.1088/1748-9326/ab3b93</t>
  </si>
  <si>
    <t>1961-2014</t>
  </si>
  <si>
    <t>30 arcminute</t>
  </si>
  <si>
    <t>1961-2019</t>
  </si>
  <si>
    <t>https://doi.org/10.1038/s41597-024-04215-x</t>
  </si>
  <si>
    <t>AQUASTAT (FAO)</t>
  </si>
  <si>
    <t>Add -&gt; Ratio of Grazing land and Crop land (create)</t>
  </si>
  <si>
    <t>Parente et al. 2024 / Matej et al. 2025</t>
  </si>
  <si>
    <t>2000-2022</t>
  </si>
  <si>
    <t>https://doi.org/10.1038/s41597-025-04788-1</t>
  </si>
  <si>
    <t>https://doi.org/10.1038/s41597-024-04139-6 / https://doi.org/10.1038/s41597-025-04788-1</t>
  </si>
  <si>
    <t>Add -&gt; Human population (HYDE 3.3)</t>
  </si>
  <si>
    <t>Goldewijk et al. 2017</t>
  </si>
  <si>
    <t>Amount of total human population</t>
  </si>
  <si>
    <t>10000BCE-2023</t>
  </si>
  <si>
    <t>Add -&gt; Soil pH (SoilGrid)</t>
  </si>
  <si>
    <t>TBD</t>
  </si>
  <si>
    <t>https://doi.org/10.24416/UU01-AEZZIT</t>
  </si>
  <si>
    <t>admin 2 (country)</t>
  </si>
  <si>
    <t>https://www.fao.org/faostat/en/#data/TCL</t>
  </si>
  <si>
    <t>Diversity of crops (potential of crops that can be grown)</t>
  </si>
  <si>
    <t>Combined System (integrated)</t>
  </si>
  <si>
    <t>Add -&gt; Total renewable water resources (AQUASTAT) -&gt; maybe to water stress</t>
  </si>
  <si>
    <t>Water Subsystem (Water management?)</t>
  </si>
  <si>
    <t>SECOND ROUND EVALUATION</t>
  </si>
  <si>
    <t>SCORING (1-5, 5 being the most important)</t>
  </si>
  <si>
    <t>(1-5)</t>
  </si>
  <si>
    <t>Zhang, K., Chen, H., Ma, N. et al. A global dataset of terrestrial evapotranspiration and soil moisture dynamics from 1982 to 2020. Sci Data 11, 445 (2024). https://doi.org/10.1038/s41597-024-03271-7</t>
  </si>
  <si>
    <t>NEW -&gt; Soil pH (SoilGrid)</t>
  </si>
  <si>
    <t>NEW -&gt; Soil plant available nitrogen</t>
  </si>
  <si>
    <t>Lu, J., Yao, L., Qin, J., Jiang, H., &amp; Zhou, C. (2025). Global reconstruction of gridded aridity index and its spatial and temporal characterization from 2003 to 2022. International Journal of Digital Earth, 18(1). https://doi.org/10.1080/17538947.2025.2473639</t>
  </si>
  <si>
    <t>Beck, H. E., E. F. Wood, M. Pan, C. K. Fisher, D. G. Miralles, A. I. J. M. van Dijk, T. R. McVicar, and R. F. Adler, 2019: MSWEP V2 Global 3-Hourly 0.1° Precipitation: Methodology and Quantitative Assessment. Bull. Amer. Meteor. Soc., 100, 473–500, https://doi.org/10.1175/BAMS-D-17-0138.1</t>
  </si>
  <si>
    <t>Matej, S., Weidinger, F., Kaufmann, L. et al. A global land-use data cube 1992–2020 based on the Human Appropriation of Net Primary Production. Sci Data 12, 511 (2025). https://doi.org/10.1038/s41597-025-04788-1</t>
  </si>
  <si>
    <t>seems unusual to place this in the climate subsystem?</t>
  </si>
  <si>
    <t>NEW -&gt; Frost days</t>
  </si>
  <si>
    <t>relevance depends on location i suppose</t>
  </si>
  <si>
    <t>NEW -&gt; Potential Evaporation/Evapotranspiration* (GLEAM)</t>
  </si>
  <si>
    <t>Miralles, D.G., Bonte, O., Koppa, A. et al. 2025</t>
  </si>
  <si>
    <t>NEW -&gt; Precipitation (wettest 3 consecutive months) (MSWEP/MSWX)</t>
  </si>
  <si>
    <t>NEW -&gt; Frequency of droughts during growing season (MSWX)</t>
  </si>
  <si>
    <t>NEW -&gt; Frequency of dry spells during growing season (MSWX)</t>
  </si>
  <si>
    <t>NEW -&gt; Blue and Green crop water requirement (WATNEEDS)</t>
  </si>
  <si>
    <t>Chiarelli, D.D., Passera, C., Rosa, L. et al.</t>
  </si>
  <si>
    <t>NEW -&gt; Dominant crops</t>
  </si>
  <si>
    <t>NEW -&gt; Ratio of Grazing land and Crop land (create)</t>
  </si>
  <si>
    <t>NEW -&gt; Trees on cropland (MODIS)</t>
  </si>
  <si>
    <t>NEW -&gt; Share of productions going for exports</t>
  </si>
  <si>
    <t>NEW -&gt; Human population (HYDE 3.3)</t>
  </si>
  <si>
    <t>NEW -&gt; NPK fertilizer application rate</t>
  </si>
  <si>
    <t>Nitrogen, Phosphorous, and Potassium fertilizer applications for crops</t>
  </si>
  <si>
    <t>but redundant with other datasets above?</t>
  </si>
  <si>
    <t>NEW -&gt; Total renewable water resources (AQUASTAT)</t>
  </si>
  <si>
    <t>NEW -&gt; Ratio of surface and groundwater sourced irrigation water</t>
  </si>
  <si>
    <t>this is the outcome of climate and soil subsystem?</t>
  </si>
  <si>
    <t>included in precipitation?</t>
  </si>
  <si>
    <t>I don't understand how this determines crop production, it seems to be the outcome</t>
  </si>
  <si>
    <t>I may misunderstand this, but to me, socio-economic indicators are unimportant for how crops are being produced?</t>
  </si>
  <si>
    <t>Average score</t>
  </si>
  <si>
    <t>Median score</t>
  </si>
  <si>
    <t>INTEGRATED SYSTEM</t>
  </si>
  <si>
    <t>Water Resource Subsystem</t>
  </si>
  <si>
    <t>Might do this with NPP instead?</t>
  </si>
  <si>
    <t>Indigenous community</t>
  </si>
  <si>
    <t>Market accessibility</t>
  </si>
  <si>
    <t>Kilo-calories produced from crops (from BOKU)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</si>
</sst>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theme="1"/>
      <name val="Roboto"/>
    </font>
    <font>
      <sz val="12"/>
      <color theme="1"/>
      <name val="Aptos Narrow"/>
      <scheme val="minor"/>
    </font>
    <font>
      <sz val="12"/>
      <color theme="1"/>
      <name val="Roboto"/>
    </font>
    <font>
      <u/>
      <sz val="12"/>
      <color theme="10"/>
      <name val="Aptos Narrow"/>
      <family val="2"/>
      <scheme val="minor"/>
    </font>
    <font>
      <sz val="12"/>
      <color theme="1"/>
      <name val="Arial"/>
      <family val="2"/>
    </font>
    <font>
      <sz val="12"/>
      <color rgb="FF000000"/>
      <name val="Roboto"/>
      <charset val="1"/>
    </font>
    <font>
      <u/>
      <sz val="12"/>
      <color rgb="FF467886"/>
      <name val="Roboto"/>
    </font>
    <font>
      <u/>
      <sz val="12"/>
      <color rgb="FF467886"/>
      <name val="Aptos Narrow"/>
      <scheme val="minor"/>
    </font>
    <font>
      <strike/>
      <sz val="12"/>
      <color theme="1"/>
      <name val="Roboto"/>
    </font>
    <font>
      <strike/>
      <sz val="12"/>
      <color theme="1"/>
      <name val="Aptos Narrow"/>
      <family val="2"/>
      <scheme val="minor"/>
    </font>
    <font>
      <strike/>
      <u/>
      <sz val="12"/>
      <color rgb="FF467886"/>
      <name val="Roboto"/>
    </font>
  </fonts>
  <fills count="11">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rgb="FFF2ECC6"/>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0" borderId="0" xfId="0" applyFont="1"/>
    <xf numFmtId="0" fontId="2" fillId="0" borderId="0" xfId="0" applyFont="1"/>
    <xf numFmtId="0" fontId="3" fillId="0" borderId="0" xfId="0" applyFont="1"/>
    <xf numFmtId="0" fontId="4" fillId="0" borderId="0" xfId="1"/>
    <xf numFmtId="16" fontId="3" fillId="0" borderId="0" xfId="0" quotePrefix="1" applyNumberFormat="1" applyFont="1" applyAlignment="1">
      <alignment horizontal="right"/>
    </xf>
    <xf numFmtId="2" fontId="3" fillId="2" borderId="0" xfId="0" applyNumberFormat="1" applyFont="1" applyFill="1"/>
    <xf numFmtId="2" fontId="3" fillId="3" borderId="0" xfId="0" applyNumberFormat="1" applyFont="1" applyFill="1"/>
    <xf numFmtId="0" fontId="3" fillId="4" borderId="0" xfId="0" applyFont="1" applyFill="1"/>
    <xf numFmtId="0" fontId="2" fillId="4" borderId="0" xfId="0" applyFont="1" applyFill="1"/>
    <xf numFmtId="0" fontId="0" fillId="4" borderId="0" xfId="0" applyFill="1"/>
    <xf numFmtId="0" fontId="3" fillId="2" borderId="0" xfId="0" applyFont="1" applyFill="1"/>
    <xf numFmtId="2" fontId="3" fillId="5" borderId="0" xfId="0" applyNumberFormat="1" applyFont="1" applyFill="1"/>
    <xf numFmtId="2" fontId="3" fillId="0" borderId="0" xfId="0" applyNumberFormat="1" applyFont="1"/>
    <xf numFmtId="0" fontId="3" fillId="6" borderId="0" xfId="0" applyFont="1" applyFill="1"/>
    <xf numFmtId="0" fontId="0" fillId="6" borderId="0" xfId="0" applyFill="1"/>
    <xf numFmtId="0" fontId="4" fillId="0" borderId="0" xfId="1" applyAlignment="1"/>
    <xf numFmtId="0" fontId="5" fillId="0" borderId="0" xfId="0" applyFont="1"/>
    <xf numFmtId="0" fontId="6" fillId="0" borderId="0" xfId="0" applyFont="1"/>
    <xf numFmtId="0" fontId="3" fillId="7" borderId="0" xfId="0" applyFont="1" applyFill="1"/>
    <xf numFmtId="0" fontId="3" fillId="8" borderId="0" xfId="0" applyFont="1" applyFill="1"/>
    <xf numFmtId="0" fontId="3" fillId="9" borderId="0" xfId="0" applyFont="1" applyFill="1"/>
    <xf numFmtId="2" fontId="3" fillId="9" borderId="0" xfId="0" applyNumberFormat="1" applyFont="1" applyFill="1"/>
    <xf numFmtId="0" fontId="0" fillId="9" borderId="0" xfId="0" applyFill="1"/>
    <xf numFmtId="0" fontId="7" fillId="0" borderId="0" xfId="0" applyFont="1"/>
    <xf numFmtId="0" fontId="8" fillId="0" borderId="0" xfId="0" applyFont="1"/>
    <xf numFmtId="0" fontId="0" fillId="2" borderId="0" xfId="0" applyFill="1"/>
    <xf numFmtId="0" fontId="3" fillId="10" borderId="0" xfId="0" applyFont="1" applyFill="1"/>
    <xf numFmtId="0" fontId="9" fillId="0" borderId="0" xfId="0" applyFont="1"/>
    <xf numFmtId="0" fontId="10" fillId="0" borderId="0" xfId="0" applyFont="1"/>
    <xf numFmtId="0" fontId="11" fillId="0" borderId="0" xfId="0" applyFont="1"/>
    <xf numFmtId="0" fontId="3" fillId="3" borderId="0" xfId="0" applyFont="1" applyFill="1"/>
    <xf numFmtId="0" fontId="1" fillId="2" borderId="0" xfId="0" applyFont="1" applyFill="1"/>
    <xf numFmtId="0" fontId="1" fillId="3" borderId="0" xfId="0" applyFont="1" applyFill="1"/>
  </cellXfs>
  <cellStyles count="2">
    <cellStyle name="Hyperlink" xfId="1" builtinId="8"/>
    <cellStyle name="Normal" xfId="0" builtinId="0"/>
  </cellStyles>
  <dxfs count="4">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patternFill>
      </fill>
      <border>
        <left style="hair">
          <color auto="1"/>
        </left>
        <right style="hair">
          <color auto="1"/>
        </right>
        <top style="hair">
          <color auto="1"/>
        </top>
        <bottom style="hair">
          <color auto="1"/>
        </bottom>
      </border>
    </dxf>
  </dxfs>
  <tableStyles count="0" defaultTableStyle="TableStyleMedium2" defaultPivotStyle="PivotStyleLight16"/>
  <colors>
    <mruColors>
      <color rgb="FFF2EC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Average Values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cat>
            <c:strRef>
              <c:f>Soil!$A$12:$A$17</c:f>
              <c:strCache>
                <c:ptCount val="6"/>
                <c:pt idx="0">
                  <c:v>Soil Moisture</c:v>
                </c:pt>
                <c:pt idx="1">
                  <c:v>NEW -&gt; Soil plant available nitrogen</c:v>
                </c:pt>
                <c:pt idx="2">
                  <c:v>Soil plant available phosphorous</c:v>
                </c:pt>
                <c:pt idx="3">
                  <c:v>Soil organic carbon (SOC)</c:v>
                </c:pt>
                <c:pt idx="4">
                  <c:v>NEW -&gt; Soil pH (SoilGrid)</c:v>
                </c:pt>
                <c:pt idx="5">
                  <c:v>Clay-silt content</c:v>
                </c:pt>
              </c:strCache>
            </c:strRef>
          </c:cat>
          <c:val>
            <c:numRef>
              <c:f>Soil!$B$12:$B$17</c:f>
              <c:numCache>
                <c:formatCode>General</c:formatCode>
                <c:ptCount val="6"/>
                <c:pt idx="0">
                  <c:v>4.5999999999999996</c:v>
                </c:pt>
                <c:pt idx="1">
                  <c:v>4.5999999999999996</c:v>
                </c:pt>
                <c:pt idx="2">
                  <c:v>4.2</c:v>
                </c:pt>
                <c:pt idx="3">
                  <c:v>3.6</c:v>
                </c:pt>
                <c:pt idx="4">
                  <c:v>3.2</c:v>
                </c:pt>
                <c:pt idx="5">
                  <c:v>2.6</c:v>
                </c:pt>
              </c:numCache>
            </c:numRef>
          </c:val>
          <c:smooth val="1"/>
          <c:extLst>
            <c:ext xmlns:c16="http://schemas.microsoft.com/office/drawing/2014/chart" uri="{C3380CC4-5D6E-409C-BE32-E72D297353CC}">
              <c16:uniqueId val="{00000000-C75E-BC46-8C28-560C16EBB73E}"/>
            </c:ext>
          </c:extLst>
        </c:ser>
        <c:dLbls>
          <c:showLegendKey val="0"/>
          <c:showVal val="0"/>
          <c:showCatName val="0"/>
          <c:showSerName val="0"/>
          <c:showPercent val="0"/>
          <c:showBubbleSize val="0"/>
        </c:dLbls>
        <c:marker val="1"/>
        <c:smooth val="0"/>
        <c:axId val="422244336"/>
        <c:axId val="422246048"/>
      </c:lineChart>
      <c:catAx>
        <c:axId val="42224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22246048"/>
        <c:crosses val="autoZero"/>
        <c:auto val="1"/>
        <c:lblAlgn val="ctr"/>
        <c:lblOffset val="100"/>
        <c:noMultiLvlLbl val="0"/>
      </c:catAx>
      <c:valAx>
        <c:axId val="42224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2224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Median Values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Soil!$A$21:$A$26</c:f>
              <c:strCache>
                <c:ptCount val="6"/>
                <c:pt idx="0">
                  <c:v>Soil Moisture</c:v>
                </c:pt>
                <c:pt idx="1">
                  <c:v>NEW -&gt; Soil plant available nitrogen</c:v>
                </c:pt>
                <c:pt idx="2">
                  <c:v>Soil plant available phosphorous</c:v>
                </c:pt>
                <c:pt idx="3">
                  <c:v>Soil organic carbon (SOC)</c:v>
                </c:pt>
                <c:pt idx="4">
                  <c:v>Clay-silt content</c:v>
                </c:pt>
                <c:pt idx="5">
                  <c:v>NEW -&gt; Soil pH (SoilGrid)</c:v>
                </c:pt>
              </c:strCache>
            </c:strRef>
          </c:cat>
          <c:val>
            <c:numRef>
              <c:f>Soil!$B$21:$B$26</c:f>
              <c:numCache>
                <c:formatCode>General</c:formatCode>
                <c:ptCount val="6"/>
                <c:pt idx="0">
                  <c:v>5</c:v>
                </c:pt>
                <c:pt idx="1">
                  <c:v>5</c:v>
                </c:pt>
                <c:pt idx="2">
                  <c:v>4</c:v>
                </c:pt>
                <c:pt idx="3">
                  <c:v>3</c:v>
                </c:pt>
                <c:pt idx="4">
                  <c:v>3</c:v>
                </c:pt>
                <c:pt idx="5">
                  <c:v>3</c:v>
                </c:pt>
              </c:numCache>
            </c:numRef>
          </c:val>
          <c:smooth val="1"/>
          <c:extLst>
            <c:ext xmlns:c16="http://schemas.microsoft.com/office/drawing/2014/chart" uri="{C3380CC4-5D6E-409C-BE32-E72D297353CC}">
              <c16:uniqueId val="{00000000-769F-E449-B00B-E38E34F9D32C}"/>
            </c:ext>
          </c:extLst>
        </c:ser>
        <c:dLbls>
          <c:showLegendKey val="0"/>
          <c:showVal val="0"/>
          <c:showCatName val="0"/>
          <c:showSerName val="0"/>
          <c:showPercent val="0"/>
          <c:showBubbleSize val="0"/>
        </c:dLbls>
        <c:marker val="1"/>
        <c:smooth val="0"/>
        <c:axId val="410888960"/>
        <c:axId val="410890672"/>
      </c:lineChart>
      <c:catAx>
        <c:axId val="41088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10890672"/>
        <c:crosses val="autoZero"/>
        <c:auto val="1"/>
        <c:lblAlgn val="ctr"/>
        <c:lblOffset val="100"/>
        <c:noMultiLvlLbl val="0"/>
      </c:catAx>
      <c:valAx>
        <c:axId val="41089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108889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Climate!$A$19:$A$31</c:f>
              <c:strCache>
                <c:ptCount val="13"/>
                <c:pt idx="0">
                  <c:v>Growing degree days</c:v>
                </c:pt>
                <c:pt idx="1">
                  <c:v>Precipitation (MSWEP)</c:v>
                </c:pt>
                <c:pt idx="2">
                  <c:v>Harvested crop products (HANPPharv)</c:v>
                </c:pt>
                <c:pt idx="3">
                  <c:v>Aridity index*</c:v>
                </c:pt>
                <c:pt idx="4">
                  <c:v>Evapotranspiration*</c:v>
                </c:pt>
                <c:pt idx="5">
                  <c:v>NEW -&gt; Frequency of droughts during growing season (MSWX)</c:v>
                </c:pt>
                <c:pt idx="6">
                  <c:v>Potential Net primary production (NPP Pot)</c:v>
                </c:pt>
                <c:pt idx="7">
                  <c:v>NEW -&gt; Frequency of dry spells during growing season (MSWX)</c:v>
                </c:pt>
                <c:pt idx="8">
                  <c:v>Drought index (SPEI)*</c:v>
                </c:pt>
                <c:pt idx="9">
                  <c:v>NEW -&gt; Potential Evaporation/Evapotranspiration* (GLEAM)</c:v>
                </c:pt>
                <c:pt idx="10">
                  <c:v>NEW -&gt; Precipitation (wettest 3 consecutive months) (MSWEP/MSWX)</c:v>
                </c:pt>
                <c:pt idx="11">
                  <c:v>Warm spell duration index (WSDI)</c:v>
                </c:pt>
                <c:pt idx="12">
                  <c:v>NEW -&gt; Frost days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Climate!$A$19:$A$31</c:f>
              <c:strCache>
                <c:ptCount val="13"/>
                <c:pt idx="0">
                  <c:v>Growing degree days</c:v>
                </c:pt>
                <c:pt idx="1">
                  <c:v>Precipitation (MSWEP)</c:v>
                </c:pt>
                <c:pt idx="2">
                  <c:v>Harvested crop products (HANPPharv)</c:v>
                </c:pt>
                <c:pt idx="3">
                  <c:v>Aridity index*</c:v>
                </c:pt>
                <c:pt idx="4">
                  <c:v>Evapotranspiration*</c:v>
                </c:pt>
                <c:pt idx="5">
                  <c:v>NEW -&gt; Frequency of droughts during growing season (MSWX)</c:v>
                </c:pt>
                <c:pt idx="6">
                  <c:v>Potential Net primary production (NPP Pot)</c:v>
                </c:pt>
                <c:pt idx="7">
                  <c:v>NEW -&gt; Frequency of dry spells during growing season (MSWX)</c:v>
                </c:pt>
                <c:pt idx="8">
                  <c:v>Drought index (SPEI)*</c:v>
                </c:pt>
                <c:pt idx="9">
                  <c:v>NEW -&gt; Potential Evaporation/Evapotranspiration* (GLEAM)</c:v>
                </c:pt>
                <c:pt idx="10">
                  <c:v>NEW -&gt; Precipitation (wettest 3 consecutive months) (MSWEP/MSWX)</c:v>
                </c:pt>
                <c:pt idx="11">
                  <c:v>Warm spell duration index (WSDI)</c:v>
                </c:pt>
                <c:pt idx="12">
                  <c:v>NEW -&gt; Frost days</c:v>
                </c:pt>
              </c:strCache>
            </c:strRef>
          </c:cat>
          <c:val>
            <c:numRef>
              <c:f>Climate!$B$19:$B$31</c:f>
              <c:numCache>
                <c:formatCode>General</c:formatCode>
                <c:ptCount val="13"/>
                <c:pt idx="0">
                  <c:v>4.5999999999999996</c:v>
                </c:pt>
                <c:pt idx="1">
                  <c:v>4.4000000000000004</c:v>
                </c:pt>
                <c:pt idx="2">
                  <c:v>4.4000000000000004</c:v>
                </c:pt>
                <c:pt idx="3">
                  <c:v>4</c:v>
                </c:pt>
                <c:pt idx="4">
                  <c:v>4</c:v>
                </c:pt>
                <c:pt idx="5">
                  <c:v>3.4</c:v>
                </c:pt>
                <c:pt idx="6">
                  <c:v>3.2</c:v>
                </c:pt>
                <c:pt idx="7">
                  <c:v>3.2</c:v>
                </c:pt>
                <c:pt idx="8">
                  <c:v>3</c:v>
                </c:pt>
                <c:pt idx="9">
                  <c:v>3</c:v>
                </c:pt>
                <c:pt idx="10">
                  <c:v>3</c:v>
                </c:pt>
                <c:pt idx="11">
                  <c:v>2.6</c:v>
                </c:pt>
                <c:pt idx="12">
                  <c:v>2.4</c:v>
                </c:pt>
              </c:numCache>
            </c:numRef>
          </c:val>
          <c:smooth val="1"/>
          <c:extLst>
            <c:ext xmlns:c16="http://schemas.microsoft.com/office/drawing/2014/chart" uri="{C3380CC4-5D6E-409C-BE32-E72D297353CC}">
              <c16:uniqueId val="{00000000-3DF9-734F-92EA-4105C7ADA8C3}"/>
            </c:ext>
          </c:extLst>
        </c:ser>
        <c:dLbls>
          <c:showLegendKey val="0"/>
          <c:showVal val="0"/>
          <c:showCatName val="0"/>
          <c:showSerName val="0"/>
          <c:showPercent val="0"/>
          <c:showBubbleSize val="0"/>
        </c:dLbls>
        <c:marker val="1"/>
        <c:smooth val="0"/>
        <c:axId val="424440880"/>
        <c:axId val="424460144"/>
      </c:lineChart>
      <c:catAx>
        <c:axId val="42444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4460144"/>
        <c:crosses val="autoZero"/>
        <c:auto val="1"/>
        <c:lblAlgn val="ctr"/>
        <c:lblOffset val="100"/>
        <c:noMultiLvlLbl val="1"/>
      </c:catAx>
      <c:valAx>
        <c:axId val="42446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44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Climate!$A$35:$A$47</c:f>
              <c:strCache>
                <c:ptCount val="13"/>
                <c:pt idx="0">
                  <c:v>Precipitation (MSWEP)</c:v>
                </c:pt>
                <c:pt idx="1">
                  <c:v>Growing degree days</c:v>
                </c:pt>
                <c:pt idx="2">
                  <c:v>Aridity index*</c:v>
                </c:pt>
                <c:pt idx="3">
                  <c:v>Harvested crop products (HANPPharv)</c:v>
                </c:pt>
                <c:pt idx="4">
                  <c:v>Evapotranspiration*</c:v>
                </c:pt>
                <c:pt idx="5">
                  <c:v>NEW -&gt; Frequency of droughts during growing season (MSWX)</c:v>
                </c:pt>
                <c:pt idx="6">
                  <c:v>NEW -&gt; Frequency of dry spells during growing season (MSWX)</c:v>
                </c:pt>
                <c:pt idx="7">
                  <c:v>Drought index (SPEI)*</c:v>
                </c:pt>
                <c:pt idx="8">
                  <c:v>Warm spell duration index (WSDI)</c:v>
                </c:pt>
                <c:pt idx="9">
                  <c:v>Potential Net primary production (NPP Pot)</c:v>
                </c:pt>
                <c:pt idx="10">
                  <c:v>NEW -&gt; Potential Evaporation/Evapotranspiration* (GLEAM)</c:v>
                </c:pt>
                <c:pt idx="11">
                  <c:v>NEW -&gt; Precipitation (wettest 3 consecutive months) (MSWEP/MSWX)</c:v>
                </c:pt>
                <c:pt idx="12">
                  <c:v>NEW -&gt; Frost days</c:v>
                </c:pt>
              </c:strCache>
            </c:strRef>
          </c:cat>
          <c:val>
            <c:numRef>
              <c:f>Climate!$B$35:$B$47</c:f>
              <c:numCache>
                <c:formatCode>General</c:formatCode>
                <c:ptCount val="13"/>
                <c:pt idx="0">
                  <c:v>5</c:v>
                </c:pt>
                <c:pt idx="1">
                  <c:v>5</c:v>
                </c:pt>
                <c:pt idx="2">
                  <c:v>4</c:v>
                </c:pt>
                <c:pt idx="3">
                  <c:v>4</c:v>
                </c:pt>
                <c:pt idx="4">
                  <c:v>4</c:v>
                </c:pt>
                <c:pt idx="5">
                  <c:v>4</c:v>
                </c:pt>
                <c:pt idx="6">
                  <c:v>4</c:v>
                </c:pt>
                <c:pt idx="7">
                  <c:v>3</c:v>
                </c:pt>
                <c:pt idx="8">
                  <c:v>3</c:v>
                </c:pt>
                <c:pt idx="9">
                  <c:v>3</c:v>
                </c:pt>
                <c:pt idx="10">
                  <c:v>3</c:v>
                </c:pt>
                <c:pt idx="11">
                  <c:v>3</c:v>
                </c:pt>
                <c:pt idx="12">
                  <c:v>2</c:v>
                </c:pt>
              </c:numCache>
            </c:numRef>
          </c:val>
          <c:smooth val="0"/>
          <c:extLst>
            <c:ext xmlns:c16="http://schemas.microsoft.com/office/drawing/2014/chart" uri="{C3380CC4-5D6E-409C-BE32-E72D297353CC}">
              <c16:uniqueId val="{00000000-C430-AA45-9644-43AEA1A1F3BE}"/>
            </c:ext>
          </c:extLst>
        </c:ser>
        <c:dLbls>
          <c:showLegendKey val="0"/>
          <c:showVal val="0"/>
          <c:showCatName val="0"/>
          <c:showSerName val="0"/>
          <c:showPercent val="0"/>
          <c:showBubbleSize val="0"/>
        </c:dLbls>
        <c:marker val="1"/>
        <c:smooth val="0"/>
        <c:axId val="422410944"/>
        <c:axId val="422412656"/>
      </c:lineChart>
      <c:catAx>
        <c:axId val="42241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412656"/>
        <c:crosses val="autoZero"/>
        <c:auto val="1"/>
        <c:lblAlgn val="ctr"/>
        <c:lblOffset val="100"/>
        <c:noMultiLvlLbl val="0"/>
      </c:catAx>
      <c:valAx>
        <c:axId val="42241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41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'Crop-field'!$A$12:$A$18</c:f>
              <c:strCache>
                <c:ptCount val="7"/>
                <c:pt idx="0">
                  <c:v>Kilo-calories produced from crops (from SPAM)</c:v>
                </c:pt>
                <c:pt idx="1">
                  <c:v>NEW -&gt; Dominant crops</c:v>
                </c:pt>
                <c:pt idx="2">
                  <c:v>Diversity of crops</c:v>
                </c:pt>
                <c:pt idx="3">
                  <c:v>NEW -&gt; Ratio of Grazing land and Crop land (create)</c:v>
                </c:pt>
                <c:pt idx="4">
                  <c:v>NEW -&gt; Trees on cropland (MODIS)</c:v>
                </c:pt>
                <c:pt idx="5">
                  <c:v>Greenhouse gas emissions from cropland</c:v>
                </c:pt>
                <c:pt idx="6">
                  <c:v>Fraction of cropland per total land area</c:v>
                </c:pt>
              </c:strCache>
            </c:strRef>
          </c:cat>
          <c:val>
            <c:numRef>
              <c:f>'Crop-field'!$B$12:$B$18</c:f>
              <c:numCache>
                <c:formatCode>General</c:formatCode>
                <c:ptCount val="7"/>
                <c:pt idx="0">
                  <c:v>4</c:v>
                </c:pt>
                <c:pt idx="1">
                  <c:v>3.8</c:v>
                </c:pt>
                <c:pt idx="2">
                  <c:v>3.4</c:v>
                </c:pt>
                <c:pt idx="3">
                  <c:v>3.2</c:v>
                </c:pt>
                <c:pt idx="4">
                  <c:v>3</c:v>
                </c:pt>
                <c:pt idx="5">
                  <c:v>2.8</c:v>
                </c:pt>
                <c:pt idx="6">
                  <c:v>2.6</c:v>
                </c:pt>
              </c:numCache>
            </c:numRef>
          </c:val>
          <c:smooth val="1"/>
          <c:extLst>
            <c:ext xmlns:c16="http://schemas.microsoft.com/office/drawing/2014/chart" uri="{C3380CC4-5D6E-409C-BE32-E72D297353CC}">
              <c16:uniqueId val="{00000000-7916-8D4C-B34F-7AD21109C879}"/>
            </c:ext>
          </c:extLst>
        </c:ser>
        <c:dLbls>
          <c:showLegendKey val="0"/>
          <c:showVal val="0"/>
          <c:showCatName val="0"/>
          <c:showSerName val="0"/>
          <c:showPercent val="0"/>
          <c:showBubbleSize val="0"/>
        </c:dLbls>
        <c:marker val="1"/>
        <c:smooth val="0"/>
        <c:axId val="424466480"/>
        <c:axId val="424243984"/>
      </c:lineChart>
      <c:catAx>
        <c:axId val="424466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4243984"/>
        <c:crosses val="autoZero"/>
        <c:auto val="1"/>
        <c:lblAlgn val="ctr"/>
        <c:lblOffset val="100"/>
        <c:noMultiLvlLbl val="1"/>
      </c:catAx>
      <c:valAx>
        <c:axId val="42424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446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'Crop-field'!$B$21</c:f>
              <c:strCache>
                <c:ptCount val="1"/>
                <c:pt idx="0">
                  <c:v>Median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'Crop-field'!$A$22:$A$28</c:f>
              <c:strCache>
                <c:ptCount val="7"/>
                <c:pt idx="0">
                  <c:v>Kilo-calories produced from crops (from SPAM)</c:v>
                </c:pt>
                <c:pt idx="1">
                  <c:v>NEW -&gt; Dominant crops</c:v>
                </c:pt>
                <c:pt idx="2">
                  <c:v>Diversity of crops</c:v>
                </c:pt>
                <c:pt idx="3">
                  <c:v>NEW -&gt; Ratio of Grazing land and Crop land (create)</c:v>
                </c:pt>
                <c:pt idx="4">
                  <c:v>NEW -&gt; Trees on cropland (MODIS)</c:v>
                </c:pt>
                <c:pt idx="5">
                  <c:v>Fraction of cropland per total land area</c:v>
                </c:pt>
                <c:pt idx="6">
                  <c:v>Greenhouse gas emissions from cropland</c:v>
                </c:pt>
              </c:strCache>
            </c:strRef>
          </c:cat>
          <c:val>
            <c:numRef>
              <c:f>'Crop-field'!$B$22:$B$28</c:f>
              <c:numCache>
                <c:formatCode>General</c:formatCode>
                <c:ptCount val="7"/>
                <c:pt idx="0">
                  <c:v>4</c:v>
                </c:pt>
                <c:pt idx="1">
                  <c:v>4</c:v>
                </c:pt>
                <c:pt idx="2">
                  <c:v>3</c:v>
                </c:pt>
                <c:pt idx="3">
                  <c:v>3</c:v>
                </c:pt>
                <c:pt idx="4">
                  <c:v>3</c:v>
                </c:pt>
                <c:pt idx="5">
                  <c:v>2</c:v>
                </c:pt>
                <c:pt idx="6">
                  <c:v>2</c:v>
                </c:pt>
              </c:numCache>
            </c:numRef>
          </c:val>
          <c:smooth val="0"/>
          <c:extLst>
            <c:ext xmlns:c16="http://schemas.microsoft.com/office/drawing/2014/chart" uri="{C3380CC4-5D6E-409C-BE32-E72D297353CC}">
              <c16:uniqueId val="{00000000-1E3A-544C-994A-80A476264985}"/>
            </c:ext>
          </c:extLst>
        </c:ser>
        <c:dLbls>
          <c:showLegendKey val="0"/>
          <c:showVal val="0"/>
          <c:showCatName val="0"/>
          <c:showSerName val="0"/>
          <c:showPercent val="0"/>
          <c:showBubbleSize val="0"/>
        </c:dLbls>
        <c:marker val="1"/>
        <c:smooth val="0"/>
        <c:axId val="423575072"/>
        <c:axId val="423612656"/>
      </c:lineChart>
      <c:catAx>
        <c:axId val="423575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3612656"/>
        <c:crosses val="autoZero"/>
        <c:auto val="1"/>
        <c:lblAlgn val="ctr"/>
        <c:lblOffset val="100"/>
        <c:noMultiLvlLbl val="0"/>
      </c:catAx>
      <c:valAx>
        <c:axId val="42361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357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Water!$B$8</c:f>
              <c:strCache>
                <c:ptCount val="1"/>
                <c:pt idx="0">
                  <c:v>Average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Water!$A$9:$A$12</c:f>
              <c:strCache>
                <c:ptCount val="4"/>
                <c:pt idx="0">
                  <c:v>Fraction of irrigated cropland</c:v>
                </c:pt>
                <c:pt idx="1">
                  <c:v>NEW -&gt; Blue and Green crop water requirement (WATNEEDS)</c:v>
                </c:pt>
                <c:pt idx="2">
                  <c:v>NEW -&gt; Ratio of surface and groundwater sourced irrigation water</c:v>
                </c:pt>
                <c:pt idx="3">
                  <c:v>NEW -&gt; Total renewable water resources (AQUASTAT)</c:v>
                </c:pt>
              </c:strCache>
            </c:strRef>
          </c:cat>
          <c:val>
            <c:numRef>
              <c:f>Water!$B$9:$B$12</c:f>
              <c:numCache>
                <c:formatCode>General</c:formatCode>
                <c:ptCount val="4"/>
                <c:pt idx="0">
                  <c:v>4.2</c:v>
                </c:pt>
                <c:pt idx="1">
                  <c:v>4</c:v>
                </c:pt>
                <c:pt idx="2">
                  <c:v>3.2</c:v>
                </c:pt>
                <c:pt idx="3">
                  <c:v>3</c:v>
                </c:pt>
              </c:numCache>
            </c:numRef>
          </c:val>
          <c:smooth val="1"/>
          <c:extLst>
            <c:ext xmlns:c16="http://schemas.microsoft.com/office/drawing/2014/chart" uri="{C3380CC4-5D6E-409C-BE32-E72D297353CC}">
              <c16:uniqueId val="{00000000-B07B-2940-A358-935CE088ACEF}"/>
            </c:ext>
          </c:extLst>
        </c:ser>
        <c:dLbls>
          <c:showLegendKey val="0"/>
          <c:showVal val="0"/>
          <c:showCatName val="0"/>
          <c:showSerName val="0"/>
          <c:showPercent val="0"/>
          <c:showBubbleSize val="0"/>
        </c:dLbls>
        <c:marker val="1"/>
        <c:smooth val="0"/>
        <c:axId val="422309392"/>
        <c:axId val="422311104"/>
      </c:lineChart>
      <c:catAx>
        <c:axId val="422309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311104"/>
        <c:crosses val="autoZero"/>
        <c:auto val="1"/>
        <c:lblAlgn val="ctr"/>
        <c:lblOffset val="100"/>
        <c:noMultiLvlLbl val="1"/>
      </c:catAx>
      <c:valAx>
        <c:axId val="42231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30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Water!$B$15</c:f>
              <c:strCache>
                <c:ptCount val="1"/>
                <c:pt idx="0">
                  <c:v>Median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Water!$A$16:$A$19</c:f>
              <c:strCache>
                <c:ptCount val="4"/>
                <c:pt idx="0">
                  <c:v>Fraction of irrigated cropland</c:v>
                </c:pt>
                <c:pt idx="1">
                  <c:v>NEW -&gt; Blue and Green crop water requirement (WATNEEDS)</c:v>
                </c:pt>
                <c:pt idx="2">
                  <c:v>NEW -&gt; Total renewable water resources (AQUASTAT)</c:v>
                </c:pt>
                <c:pt idx="3">
                  <c:v>NEW -&gt; Ratio of surface and groundwater sourced irrigation water</c:v>
                </c:pt>
              </c:strCache>
            </c:strRef>
          </c:cat>
          <c:val>
            <c:numRef>
              <c:f>Water!$B$16:$B$19</c:f>
              <c:numCache>
                <c:formatCode>General</c:formatCode>
                <c:ptCount val="4"/>
                <c:pt idx="0">
                  <c:v>4</c:v>
                </c:pt>
                <c:pt idx="1">
                  <c:v>4</c:v>
                </c:pt>
                <c:pt idx="2">
                  <c:v>3</c:v>
                </c:pt>
                <c:pt idx="3">
                  <c:v>3</c:v>
                </c:pt>
              </c:numCache>
            </c:numRef>
          </c:val>
          <c:smooth val="0"/>
          <c:extLst>
            <c:ext xmlns:c16="http://schemas.microsoft.com/office/drawing/2014/chart" uri="{C3380CC4-5D6E-409C-BE32-E72D297353CC}">
              <c16:uniqueId val="{00000000-C912-4B4F-913B-5D95EE257ED2}"/>
            </c:ext>
          </c:extLst>
        </c:ser>
        <c:dLbls>
          <c:showLegendKey val="0"/>
          <c:showVal val="0"/>
          <c:showCatName val="0"/>
          <c:showSerName val="0"/>
          <c:showPercent val="0"/>
          <c:showBubbleSize val="0"/>
        </c:dLbls>
        <c:marker val="1"/>
        <c:smooth val="0"/>
        <c:axId val="422317872"/>
        <c:axId val="422281824"/>
      </c:lineChart>
      <c:catAx>
        <c:axId val="42231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81824"/>
        <c:crosses val="autoZero"/>
        <c:auto val="1"/>
        <c:lblAlgn val="ctr"/>
        <c:lblOffset val="100"/>
        <c:noMultiLvlLbl val="0"/>
      </c:catAx>
      <c:valAx>
        <c:axId val="42228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31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SocioE!$B$8</c:f>
              <c:strCache>
                <c:ptCount val="1"/>
                <c:pt idx="0">
                  <c:v>Average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SocioE!$A$9:$A$13</c:f>
              <c:strCache>
                <c:ptCount val="5"/>
                <c:pt idx="0">
                  <c:v>NEW -&gt; Share of productions going for exports</c:v>
                </c:pt>
                <c:pt idx="1">
                  <c:v>GNI</c:v>
                </c:pt>
                <c:pt idx="2">
                  <c:v>NEW -&gt; Human population (HYDE 3.3)</c:v>
                </c:pt>
                <c:pt idx="3">
                  <c:v>Governance index</c:v>
                </c:pt>
                <c:pt idx="4">
                  <c:v>Years of schooling</c:v>
                </c:pt>
              </c:strCache>
            </c:strRef>
          </c:cat>
          <c:val>
            <c:numRef>
              <c:f>SocioE!$B$9:$B$13</c:f>
              <c:numCache>
                <c:formatCode>General</c:formatCode>
                <c:ptCount val="5"/>
                <c:pt idx="0">
                  <c:v>3</c:v>
                </c:pt>
                <c:pt idx="1">
                  <c:v>2.4</c:v>
                </c:pt>
                <c:pt idx="2">
                  <c:v>2.4</c:v>
                </c:pt>
                <c:pt idx="3">
                  <c:v>2.2000000000000002</c:v>
                </c:pt>
                <c:pt idx="4">
                  <c:v>2</c:v>
                </c:pt>
              </c:numCache>
            </c:numRef>
          </c:val>
          <c:smooth val="1"/>
          <c:extLst>
            <c:ext xmlns:c16="http://schemas.microsoft.com/office/drawing/2014/chart" uri="{C3380CC4-5D6E-409C-BE32-E72D297353CC}">
              <c16:uniqueId val="{00000000-B60A-5440-8F22-5A5DB862D90D}"/>
            </c:ext>
          </c:extLst>
        </c:ser>
        <c:dLbls>
          <c:showLegendKey val="0"/>
          <c:showVal val="0"/>
          <c:showCatName val="0"/>
          <c:showSerName val="0"/>
          <c:showPercent val="0"/>
          <c:showBubbleSize val="0"/>
        </c:dLbls>
        <c:marker val="1"/>
        <c:smooth val="0"/>
        <c:axId val="57010608"/>
        <c:axId val="1374179087"/>
      </c:lineChart>
      <c:catAx>
        <c:axId val="57010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179087"/>
        <c:crosses val="autoZero"/>
        <c:auto val="1"/>
        <c:lblAlgn val="ctr"/>
        <c:lblOffset val="100"/>
        <c:noMultiLvlLbl val="1"/>
      </c:catAx>
      <c:valAx>
        <c:axId val="137417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SocioE!$B$16</c:f>
              <c:strCache>
                <c:ptCount val="1"/>
                <c:pt idx="0">
                  <c:v>Median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SocioE!$A$17:$A$21</c:f>
              <c:strCache>
                <c:ptCount val="5"/>
                <c:pt idx="0">
                  <c:v>GNI</c:v>
                </c:pt>
                <c:pt idx="1">
                  <c:v>NEW -&gt; Share of productions going for exports</c:v>
                </c:pt>
                <c:pt idx="2">
                  <c:v>Years of schooling</c:v>
                </c:pt>
                <c:pt idx="3">
                  <c:v>Governance index</c:v>
                </c:pt>
                <c:pt idx="4">
                  <c:v>NEW -&gt; Human population (HYDE 3.3)</c:v>
                </c:pt>
              </c:strCache>
            </c:strRef>
          </c:cat>
          <c:val>
            <c:numRef>
              <c:f>SocioE!$B$17:$B$21</c:f>
              <c:numCache>
                <c:formatCode>General</c:formatCode>
                <c:ptCount val="5"/>
                <c:pt idx="0">
                  <c:v>3</c:v>
                </c:pt>
                <c:pt idx="1">
                  <c:v>3</c:v>
                </c:pt>
                <c:pt idx="2">
                  <c:v>2</c:v>
                </c:pt>
                <c:pt idx="3">
                  <c:v>2</c:v>
                </c:pt>
                <c:pt idx="4">
                  <c:v>2</c:v>
                </c:pt>
              </c:numCache>
            </c:numRef>
          </c:val>
          <c:smooth val="0"/>
          <c:extLst>
            <c:ext xmlns:c16="http://schemas.microsoft.com/office/drawing/2014/chart" uri="{C3380CC4-5D6E-409C-BE32-E72D297353CC}">
              <c16:uniqueId val="{00000000-37C8-6147-97F5-928A1DFB9DB3}"/>
            </c:ext>
          </c:extLst>
        </c:ser>
        <c:dLbls>
          <c:showLegendKey val="0"/>
          <c:showVal val="0"/>
          <c:showCatName val="0"/>
          <c:showSerName val="0"/>
          <c:showPercent val="0"/>
          <c:showBubbleSize val="0"/>
        </c:dLbls>
        <c:marker val="1"/>
        <c:smooth val="0"/>
        <c:axId val="696311936"/>
        <c:axId val="1354502463"/>
      </c:lineChart>
      <c:catAx>
        <c:axId val="69631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502463"/>
        <c:crosses val="autoZero"/>
        <c:auto val="1"/>
        <c:lblAlgn val="ctr"/>
        <c:lblOffset val="100"/>
        <c:noMultiLvlLbl val="0"/>
      </c:catAx>
      <c:valAx>
        <c:axId val="135450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31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Management!$B$10</c:f>
              <c:strCache>
                <c:ptCount val="1"/>
                <c:pt idx="0">
                  <c:v>Average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Management!$A$11:$A$16</c:f>
              <c:strCache>
                <c:ptCount val="6"/>
                <c:pt idx="0">
                  <c:v>NEW -&gt; NPK fertilizer application rate</c:v>
                </c:pt>
                <c:pt idx="1">
                  <c:v>Pesticide application rate</c:v>
                </c:pt>
                <c:pt idx="2">
                  <c:v>Machinery</c:v>
                </c:pt>
                <c:pt idx="3">
                  <c:v>Agricultural workers</c:v>
                </c:pt>
                <c:pt idx="4">
                  <c:v>Field size</c:v>
                </c:pt>
                <c:pt idx="5">
                  <c:v>Human pressure (NPP Act / NPP Pot)</c:v>
                </c:pt>
              </c:strCache>
            </c:strRef>
          </c:cat>
          <c:val>
            <c:numRef>
              <c:f>Management!$B$11:$B$16</c:f>
              <c:numCache>
                <c:formatCode>General</c:formatCode>
                <c:ptCount val="6"/>
                <c:pt idx="0">
                  <c:v>4.5999999999999996</c:v>
                </c:pt>
                <c:pt idx="1">
                  <c:v>4</c:v>
                </c:pt>
                <c:pt idx="2">
                  <c:v>3.6</c:v>
                </c:pt>
                <c:pt idx="3">
                  <c:v>3.2</c:v>
                </c:pt>
                <c:pt idx="4">
                  <c:v>3</c:v>
                </c:pt>
                <c:pt idx="5">
                  <c:v>2.6</c:v>
                </c:pt>
              </c:numCache>
            </c:numRef>
          </c:val>
          <c:smooth val="1"/>
          <c:extLst>
            <c:ext xmlns:c16="http://schemas.microsoft.com/office/drawing/2014/chart" uri="{C3380CC4-5D6E-409C-BE32-E72D297353CC}">
              <c16:uniqueId val="{00000000-C76D-F344-9556-161E3F03F2CB}"/>
            </c:ext>
          </c:extLst>
        </c:ser>
        <c:dLbls>
          <c:showLegendKey val="0"/>
          <c:showVal val="0"/>
          <c:showCatName val="0"/>
          <c:showSerName val="0"/>
          <c:showPercent val="0"/>
          <c:showBubbleSize val="0"/>
        </c:dLbls>
        <c:marker val="1"/>
        <c:smooth val="0"/>
        <c:axId val="423432816"/>
        <c:axId val="423434528"/>
      </c:lineChart>
      <c:catAx>
        <c:axId val="42343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4528"/>
        <c:crosses val="autoZero"/>
        <c:auto val="1"/>
        <c:lblAlgn val="ctr"/>
        <c:lblOffset val="100"/>
        <c:noMultiLvlLbl val="1"/>
      </c:catAx>
      <c:valAx>
        <c:axId val="42343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3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Management!$B$20</c:f>
              <c:strCache>
                <c:ptCount val="1"/>
                <c:pt idx="0">
                  <c:v>Median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Management!$A$21:$A$26</c:f>
              <c:strCache>
                <c:ptCount val="6"/>
                <c:pt idx="0">
                  <c:v>NEW -&gt; NPK fertilizer application rate</c:v>
                </c:pt>
                <c:pt idx="1">
                  <c:v>Pesticide application rate</c:v>
                </c:pt>
                <c:pt idx="2">
                  <c:v>Machinery</c:v>
                </c:pt>
                <c:pt idx="3">
                  <c:v>Field size</c:v>
                </c:pt>
                <c:pt idx="4">
                  <c:v>Agricultural workers</c:v>
                </c:pt>
                <c:pt idx="5">
                  <c:v>Human pressure (NPP Act / NPP Pot)</c:v>
                </c:pt>
              </c:strCache>
            </c:strRef>
          </c:cat>
          <c:val>
            <c:numRef>
              <c:f>Management!$B$21:$B$26</c:f>
              <c:numCache>
                <c:formatCode>General</c:formatCode>
                <c:ptCount val="6"/>
                <c:pt idx="0">
                  <c:v>5</c:v>
                </c:pt>
                <c:pt idx="1">
                  <c:v>4</c:v>
                </c:pt>
                <c:pt idx="2">
                  <c:v>4</c:v>
                </c:pt>
                <c:pt idx="3">
                  <c:v>3</c:v>
                </c:pt>
                <c:pt idx="4">
                  <c:v>3</c:v>
                </c:pt>
                <c:pt idx="5">
                  <c:v>2</c:v>
                </c:pt>
              </c:numCache>
            </c:numRef>
          </c:val>
          <c:smooth val="0"/>
          <c:extLst>
            <c:ext xmlns:c16="http://schemas.microsoft.com/office/drawing/2014/chart" uri="{C3380CC4-5D6E-409C-BE32-E72D297353CC}">
              <c16:uniqueId val="{00000000-4D42-0043-AB86-C5C4FE7728D2}"/>
            </c:ext>
          </c:extLst>
        </c:ser>
        <c:dLbls>
          <c:showLegendKey val="0"/>
          <c:showVal val="0"/>
          <c:showCatName val="0"/>
          <c:showSerName val="0"/>
          <c:showPercent val="0"/>
          <c:showBubbleSize val="0"/>
        </c:dLbls>
        <c:marker val="1"/>
        <c:smooth val="0"/>
        <c:axId val="424523616"/>
        <c:axId val="424525328"/>
      </c:lineChart>
      <c:catAx>
        <c:axId val="4245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5328"/>
        <c:crosses val="autoZero"/>
        <c:auto val="1"/>
        <c:lblAlgn val="ctr"/>
        <c:lblOffset val="100"/>
        <c:noMultiLvlLbl val="0"/>
      </c:catAx>
      <c:valAx>
        <c:axId val="42452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1409700</xdr:colOff>
      <xdr:row>27</xdr:row>
      <xdr:rowOff>190500</xdr:rowOff>
    </xdr:from>
    <xdr:to>
      <xdr:col>2</xdr:col>
      <xdr:colOff>3276600</xdr:colOff>
      <xdr:row>52</xdr:row>
      <xdr:rowOff>114300</xdr:rowOff>
    </xdr:to>
    <xdr:graphicFrame macro="">
      <xdr:nvGraphicFramePr>
        <xdr:cNvPr id="4" name="Chart 3">
          <a:extLst>
            <a:ext uri="{FF2B5EF4-FFF2-40B4-BE49-F238E27FC236}">
              <a16:creationId xmlns:a16="http://schemas.microsoft.com/office/drawing/2014/main" id="{97A1CD6C-0CA5-A48F-A063-5FC62FF6E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673100</xdr:colOff>
      <xdr:row>27</xdr:row>
      <xdr:rowOff>190500</xdr:rowOff>
    </xdr:from>
    <xdr:to>
      <xdr:col>13</xdr:col>
      <xdr:colOff>76200</xdr:colOff>
      <xdr:row>52</xdr:row>
      <xdr:rowOff>114300</xdr:rowOff>
    </xdr:to>
    <xdr:graphicFrame macro="">
      <xdr:nvGraphicFramePr>
        <xdr:cNvPr id="5" name="Chart 4">
          <a:extLst>
            <a:ext uri="{FF2B5EF4-FFF2-40B4-BE49-F238E27FC236}">
              <a16:creationId xmlns:a16="http://schemas.microsoft.com/office/drawing/2014/main" id="{4FD7F1E0-B529-D628-3D75-4C3C814E3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482600</xdr:colOff>
      <xdr:row>15</xdr:row>
      <xdr:rowOff>50800</xdr:rowOff>
    </xdr:from>
    <xdr:to>
      <xdr:col>21</xdr:col>
      <xdr:colOff>76200</xdr:colOff>
      <xdr:row>53</xdr:row>
      <xdr:rowOff>114300</xdr:rowOff>
    </xdr:to>
    <xdr:graphicFrame macro="">
      <xdr:nvGraphicFramePr>
        <xdr:cNvPr id="2" name="Chart 1">
          <a:extLst>
            <a:ext uri="{FF2B5EF4-FFF2-40B4-BE49-F238E27FC236}">
              <a16:creationId xmlns:a16="http://schemas.microsoft.com/office/drawing/2014/main" id="{53F314F8-24F4-C671-DA7E-FB44549F4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48</xdr:row>
      <xdr:rowOff>127000</xdr:rowOff>
    </xdr:from>
    <xdr:to>
      <xdr:col>5</xdr:col>
      <xdr:colOff>127000</xdr:colOff>
      <xdr:row>87</xdr:row>
      <xdr:rowOff>127000</xdr:rowOff>
    </xdr:to>
    <xdr:graphicFrame macro="">
      <xdr:nvGraphicFramePr>
        <xdr:cNvPr id="3" name="Chart 2">
          <a:extLst>
            <a:ext uri="{FF2B5EF4-FFF2-40B4-BE49-F238E27FC236}">
              <a16:creationId xmlns:a16="http://schemas.microsoft.com/office/drawing/2014/main" id="{D84061F5-4E1E-0DCC-9911-E5450D03E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736600</xdr:colOff>
      <xdr:row>15</xdr:row>
      <xdr:rowOff>0</xdr:rowOff>
    </xdr:from>
    <xdr:to>
      <xdr:col>19</xdr:col>
      <xdr:colOff>139700</xdr:colOff>
      <xdr:row>46</xdr:row>
      <xdr:rowOff>101600</xdr:rowOff>
    </xdr:to>
    <xdr:graphicFrame macro="">
      <xdr:nvGraphicFramePr>
        <xdr:cNvPr id="3" name="Chart 2">
          <a:extLst>
            <a:ext uri="{FF2B5EF4-FFF2-40B4-BE49-F238E27FC236}">
              <a16:creationId xmlns:a16="http://schemas.microsoft.com/office/drawing/2014/main" id="{05884B20-1A29-CE18-456D-8D418B97B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533400</xdr:colOff>
      <xdr:row>32</xdr:row>
      <xdr:rowOff>190500</xdr:rowOff>
    </xdr:from>
    <xdr:to>
      <xdr:col>4</xdr:col>
      <xdr:colOff>1828800</xdr:colOff>
      <xdr:row>63</xdr:row>
      <xdr:rowOff>76200</xdr:rowOff>
    </xdr:to>
    <xdr:graphicFrame macro="">
      <xdr:nvGraphicFramePr>
        <xdr:cNvPr id="5" name="Chart 4">
          <a:extLst>
            <a:ext uri="{FF2B5EF4-FFF2-40B4-BE49-F238E27FC236}">
              <a16:creationId xmlns:a16="http://schemas.microsoft.com/office/drawing/2014/main" id="{245C9DC9-9B96-D0D1-73CB-65628874A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787400</xdr:colOff>
      <xdr:row>10</xdr:row>
      <xdr:rowOff>139700</xdr:rowOff>
    </xdr:from>
    <xdr:to>
      <xdr:col>18</xdr:col>
      <xdr:colOff>495300</xdr:colOff>
      <xdr:row>44</xdr:row>
      <xdr:rowOff>177800</xdr:rowOff>
    </xdr:to>
    <xdr:graphicFrame macro="">
      <xdr:nvGraphicFramePr>
        <xdr:cNvPr id="2" name="Chart 1">
          <a:extLst>
            <a:ext uri="{FF2B5EF4-FFF2-40B4-BE49-F238E27FC236}">
              <a16:creationId xmlns:a16="http://schemas.microsoft.com/office/drawing/2014/main" id="{E0B4F0EB-77C2-CD49-3C32-2FB86233C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850900</xdr:colOff>
      <xdr:row>27</xdr:row>
      <xdr:rowOff>38100</xdr:rowOff>
    </xdr:from>
    <xdr:to>
      <xdr:col>5</xdr:col>
      <xdr:colOff>203200</xdr:colOff>
      <xdr:row>57</xdr:row>
      <xdr:rowOff>12700</xdr:rowOff>
    </xdr:to>
    <xdr:graphicFrame macro="">
      <xdr:nvGraphicFramePr>
        <xdr:cNvPr id="3" name="Chart 2">
          <a:extLst>
            <a:ext uri="{FF2B5EF4-FFF2-40B4-BE49-F238E27FC236}">
              <a16:creationId xmlns:a16="http://schemas.microsoft.com/office/drawing/2014/main" id="{B3EB0E72-E2A3-D711-AF14-E6FB2CC04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711200</xdr:colOff>
      <xdr:row>8</xdr:row>
      <xdr:rowOff>114300</xdr:rowOff>
    </xdr:from>
    <xdr:to>
      <xdr:col>24</xdr:col>
      <xdr:colOff>558800</xdr:colOff>
      <xdr:row>41</xdr:row>
      <xdr:rowOff>127000</xdr:rowOff>
    </xdr:to>
    <xdr:graphicFrame macro="">
      <xdr:nvGraphicFramePr>
        <xdr:cNvPr id="2" name="Chart 1">
          <a:extLst>
            <a:ext uri="{FF2B5EF4-FFF2-40B4-BE49-F238E27FC236}">
              <a16:creationId xmlns:a16="http://schemas.microsoft.com/office/drawing/2014/main" id="{624535C5-464C-E1D6-5853-1201B3CE5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2222500</xdr:colOff>
      <xdr:row>23</xdr:row>
      <xdr:rowOff>76200</xdr:rowOff>
    </xdr:from>
    <xdr:to>
      <xdr:col>10</xdr:col>
      <xdr:colOff>292100</xdr:colOff>
      <xdr:row>55</xdr:row>
      <xdr:rowOff>152400</xdr:rowOff>
    </xdr:to>
    <xdr:graphicFrame macro="">
      <xdr:nvGraphicFramePr>
        <xdr:cNvPr id="3" name="Chart 2">
          <a:extLst>
            <a:ext uri="{FF2B5EF4-FFF2-40B4-BE49-F238E27FC236}">
              <a16:creationId xmlns:a16="http://schemas.microsoft.com/office/drawing/2014/main" id="{A700166C-C34B-93B2-F769-0B77C5B28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406400</xdr:colOff>
      <xdr:row>8</xdr:row>
      <xdr:rowOff>88900</xdr:rowOff>
    </xdr:from>
    <xdr:to>
      <xdr:col>22</xdr:col>
      <xdr:colOff>419100</xdr:colOff>
      <xdr:row>36</xdr:row>
      <xdr:rowOff>114300</xdr:rowOff>
    </xdr:to>
    <xdr:graphicFrame macro="">
      <xdr:nvGraphicFramePr>
        <xdr:cNvPr id="2" name="Chart 1">
          <a:extLst>
            <a:ext uri="{FF2B5EF4-FFF2-40B4-BE49-F238E27FC236}">
              <a16:creationId xmlns:a16="http://schemas.microsoft.com/office/drawing/2014/main" id="{56BF18FB-B0FF-3578-BB84-2CA6078D9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495300</xdr:colOff>
      <xdr:row>29</xdr:row>
      <xdr:rowOff>177800</xdr:rowOff>
    </xdr:from>
    <xdr:to>
      <xdr:col>9</xdr:col>
      <xdr:colOff>63500</xdr:colOff>
      <xdr:row>61</xdr:row>
      <xdr:rowOff>177800</xdr:rowOff>
    </xdr:to>
    <xdr:graphicFrame macro="">
      <xdr:nvGraphicFramePr>
        <xdr:cNvPr id="3" name="Chart 2">
          <a:extLst>
            <a:ext uri="{FF2B5EF4-FFF2-40B4-BE49-F238E27FC236}">
              <a16:creationId xmlns:a16="http://schemas.microsoft.com/office/drawing/2014/main" id="{D54F74AE-173C-6363-E13B-61A89BB70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88/1748-9326/ab3b93" TargetMode="External"/><Relationship Id="rId2" Type="http://schemas.openxmlformats.org/officeDocument/2006/relationships/hyperlink" Target="https://doi.org/10.5067/MODIS/MOD44B.061" TargetMode="External"/><Relationship Id="rId1" Type="http://schemas.openxmlformats.org/officeDocument/2006/relationships/hyperlink" Target="https://doi.org/10.21203/rs.3.rs-6622054/v1" TargetMode="External"/><Relationship Id="rId6" Type="http://schemas.openxmlformats.org/officeDocument/2006/relationships/hyperlink" Target="https://doi.org/10.24416/UU01-AEZZIT" TargetMode="External"/><Relationship Id="rId5" Type="http://schemas.openxmlformats.org/officeDocument/2006/relationships/hyperlink" Target="https://doi.org/10.1038/s41597-025-04788-1" TargetMode="External"/><Relationship Id="rId4" Type="http://schemas.openxmlformats.org/officeDocument/2006/relationships/hyperlink" Target="https://doi.org/10.1038/s41597-024-04139-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21203/rs.3.rs-6622054/v1"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doi.org/10.1088/1748-9326/ab3b93" TargetMode="External"/><Relationship Id="rId1" Type="http://schemas.openxmlformats.org/officeDocument/2006/relationships/hyperlink" Target="https://figshare.com/articles/dataset/Global_Available_Soil_Phosphorus_Database/14241854"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igshare.com/articles/dataset/Global_Available_Soil_Phosphorus_Database/1424185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6C26F-D429-9643-A03B-1F50A65D8CCB}">
  <dimension ref="A1:N41"/>
  <sheetViews>
    <sheetView topLeftCell="C1" zoomScale="138" workbookViewId="0">
      <selection activeCell="J2" sqref="J2"/>
    </sheetView>
  </sheetViews>
  <sheetFormatPr baseColWidth="10" defaultRowHeight="16" x14ac:dyDescent="0.2"/>
  <cols>
    <col min="1" max="1" width="43.83203125" customWidth="1"/>
    <col min="2" max="2" width="20.33203125" customWidth="1"/>
    <col min="3" max="3" width="30" customWidth="1"/>
    <col min="4" max="4" width="16.5" customWidth="1"/>
    <col min="5" max="5" width="17.5" customWidth="1"/>
    <col min="6" max="6" width="9.6640625" customWidth="1"/>
    <col min="7" max="7" width="12.1640625" customWidth="1"/>
  </cols>
  <sheetData>
    <row r="1" spans="1:14" x14ac:dyDescent="0.2">
      <c r="A1" s="1" t="s">
        <v>0</v>
      </c>
      <c r="B1" s="1" t="s">
        <v>1</v>
      </c>
      <c r="C1" s="1" t="s">
        <v>2</v>
      </c>
      <c r="D1" s="1" t="s">
        <v>3</v>
      </c>
      <c r="E1" s="1" t="s">
        <v>4</v>
      </c>
      <c r="F1" s="1" t="s">
        <v>5</v>
      </c>
      <c r="G1" s="1" t="s">
        <v>6</v>
      </c>
    </row>
    <row r="2" spans="1:14" x14ac:dyDescent="0.2">
      <c r="A2" s="2"/>
      <c r="B2" s="2"/>
      <c r="C2" s="2"/>
      <c r="D2" s="2"/>
      <c r="E2" s="2"/>
      <c r="F2" s="2"/>
      <c r="G2" s="2"/>
      <c r="H2" t="s">
        <v>178</v>
      </c>
      <c r="I2" t="s">
        <v>179</v>
      </c>
      <c r="J2" t="s">
        <v>180</v>
      </c>
      <c r="K2" t="s">
        <v>181</v>
      </c>
      <c r="L2" t="s">
        <v>182</v>
      </c>
      <c r="M2" t="s">
        <v>183</v>
      </c>
      <c r="N2" t="s">
        <v>235</v>
      </c>
    </row>
    <row r="3" spans="1:14" x14ac:dyDescent="0.2">
      <c r="A3" s="3" t="s">
        <v>7</v>
      </c>
      <c r="B3" s="2"/>
      <c r="C3" s="3" t="s">
        <v>8</v>
      </c>
      <c r="D3" s="3" t="s">
        <v>9</v>
      </c>
      <c r="E3" s="3" t="s">
        <v>9</v>
      </c>
      <c r="F3" s="2"/>
      <c r="G3" s="3" t="s">
        <v>9</v>
      </c>
      <c r="H3" t="str">
        <f>'XH1'!G3</f>
        <v>-</v>
      </c>
      <c r="I3">
        <f>'KD1'!G3</f>
        <v>0</v>
      </c>
      <c r="J3" t="str">
        <f>'DG1'!G3</f>
        <v>-</v>
      </c>
      <c r="K3" t="str">
        <f>'SG1'!G3</f>
        <v>-</v>
      </c>
      <c r="L3" t="str">
        <f>'CM1'!G3</f>
        <v>-</v>
      </c>
      <c r="M3" t="str">
        <f>'VS1'!G3</f>
        <v>-</v>
      </c>
    </row>
    <row r="4" spans="1:14" x14ac:dyDescent="0.2">
      <c r="A4" s="3" t="s">
        <v>10</v>
      </c>
      <c r="B4" s="2"/>
      <c r="C4" s="3" t="s">
        <v>11</v>
      </c>
      <c r="D4" s="3" t="s">
        <v>9</v>
      </c>
      <c r="E4" s="3" t="s">
        <v>9</v>
      </c>
      <c r="F4" s="2"/>
      <c r="G4" s="3" t="s">
        <v>9</v>
      </c>
      <c r="H4" t="str">
        <f>'XH1'!G4</f>
        <v>-</v>
      </c>
      <c r="I4">
        <f>'KD1'!G4</f>
        <v>0</v>
      </c>
      <c r="J4" t="str">
        <f>'DG1'!G4</f>
        <v>-</v>
      </c>
      <c r="K4" t="str">
        <f>'SG1'!G4</f>
        <v>-</v>
      </c>
      <c r="L4" t="str">
        <f>'CM1'!G4</f>
        <v>-</v>
      </c>
      <c r="M4" t="str">
        <f>'VS1'!G4</f>
        <v>-</v>
      </c>
    </row>
    <row r="5" spans="1:14" x14ac:dyDescent="0.2">
      <c r="A5" s="3" t="s">
        <v>12</v>
      </c>
      <c r="B5" s="3" t="s">
        <v>13</v>
      </c>
      <c r="C5" s="3" t="s">
        <v>14</v>
      </c>
      <c r="D5" s="3" t="s">
        <v>15</v>
      </c>
      <c r="E5" s="3" t="s">
        <v>16</v>
      </c>
      <c r="F5" s="3" t="s">
        <v>17</v>
      </c>
      <c r="G5" s="7">
        <f>AVERAGE(H5:N5)</f>
        <v>3.8571428571428572</v>
      </c>
      <c r="H5">
        <f>'XH1'!G5</f>
        <v>4</v>
      </c>
      <c r="I5">
        <f>'KD1'!G5</f>
        <v>5</v>
      </c>
      <c r="J5">
        <f>'DG1'!G5</f>
        <v>3</v>
      </c>
      <c r="K5">
        <f>'SG1'!G5</f>
        <v>3</v>
      </c>
      <c r="L5">
        <f>'CM1'!G5</f>
        <v>3</v>
      </c>
      <c r="M5">
        <f>'VS1'!G5</f>
        <v>5</v>
      </c>
      <c r="N5">
        <f>'CD1'!G5</f>
        <v>4</v>
      </c>
    </row>
    <row r="6" spans="1:14" x14ac:dyDescent="0.2">
      <c r="A6" s="3" t="s">
        <v>19</v>
      </c>
      <c r="B6" s="3" t="s">
        <v>13</v>
      </c>
      <c r="C6" s="3" t="s">
        <v>20</v>
      </c>
      <c r="D6" s="3" t="s">
        <v>15</v>
      </c>
      <c r="E6" s="3" t="s">
        <v>16</v>
      </c>
      <c r="F6" s="3" t="s">
        <v>17</v>
      </c>
      <c r="G6" s="12">
        <f t="shared" ref="G6:G40" si="0">AVERAGE(H6:N6)</f>
        <v>2.5714285714285716</v>
      </c>
      <c r="H6">
        <f>'XH1'!G6</f>
        <v>3</v>
      </c>
      <c r="I6">
        <f>'KD1'!G6</f>
        <v>3</v>
      </c>
      <c r="J6">
        <f>'DG1'!G6</f>
        <v>2</v>
      </c>
      <c r="K6">
        <f>'SG1'!G6</f>
        <v>2</v>
      </c>
      <c r="L6">
        <f>'CM1'!G6</f>
        <v>3</v>
      </c>
      <c r="M6">
        <f>'VS1'!G6</f>
        <v>3</v>
      </c>
      <c r="N6">
        <f>'CD1'!G6</f>
        <v>2</v>
      </c>
    </row>
    <row r="7" spans="1:14" x14ac:dyDescent="0.2">
      <c r="A7" s="3" t="s">
        <v>21</v>
      </c>
      <c r="B7" s="3" t="s">
        <v>22</v>
      </c>
      <c r="C7" s="3" t="s">
        <v>23</v>
      </c>
      <c r="D7" s="3" t="s">
        <v>24</v>
      </c>
      <c r="E7" s="3" t="s">
        <v>25</v>
      </c>
      <c r="F7" s="3" t="s">
        <v>26</v>
      </c>
      <c r="G7" s="12">
        <f t="shared" si="0"/>
        <v>3.4285714285714284</v>
      </c>
      <c r="H7">
        <f>'XH1'!G7</f>
        <v>4</v>
      </c>
      <c r="I7">
        <f>'KD1'!G7</f>
        <v>3</v>
      </c>
      <c r="J7">
        <f>'DG1'!G7</f>
        <v>4</v>
      </c>
      <c r="K7">
        <f>'SG1'!G7</f>
        <v>3</v>
      </c>
      <c r="L7">
        <f>'CM1'!G7</f>
        <v>4</v>
      </c>
      <c r="M7">
        <f>'VS1'!G7</f>
        <v>3</v>
      </c>
      <c r="N7">
        <f>'CD1'!G7</f>
        <v>3</v>
      </c>
    </row>
    <row r="8" spans="1:14" x14ac:dyDescent="0.2">
      <c r="A8" s="3" t="s">
        <v>27</v>
      </c>
      <c r="B8" s="3" t="s">
        <v>28</v>
      </c>
      <c r="C8" s="3" t="s">
        <v>29</v>
      </c>
      <c r="D8" s="3" t="s">
        <v>30</v>
      </c>
      <c r="E8" s="3" t="s">
        <v>31</v>
      </c>
      <c r="F8" s="3" t="s">
        <v>32</v>
      </c>
      <c r="G8" s="6">
        <f t="shared" si="0"/>
        <v>4.4285714285714288</v>
      </c>
      <c r="H8">
        <f>'XH1'!G8</f>
        <v>5</v>
      </c>
      <c r="I8">
        <f>'KD1'!G8</f>
        <v>5</v>
      </c>
      <c r="J8">
        <f>'DG1'!G8</f>
        <v>3</v>
      </c>
      <c r="K8">
        <f>'SG1'!G8</f>
        <v>5</v>
      </c>
      <c r="L8">
        <f>'CM1'!G8</f>
        <v>5</v>
      </c>
      <c r="M8">
        <f>'VS1'!G8</f>
        <v>4</v>
      </c>
      <c r="N8">
        <f>'CD1'!G8</f>
        <v>4</v>
      </c>
    </row>
    <row r="9" spans="1:14" x14ac:dyDescent="0.2">
      <c r="A9" s="3" t="s">
        <v>33</v>
      </c>
      <c r="B9" s="3" t="s">
        <v>28</v>
      </c>
      <c r="C9" s="3" t="s">
        <v>34</v>
      </c>
      <c r="D9" s="3" t="s">
        <v>30</v>
      </c>
      <c r="E9" s="3" t="s">
        <v>31</v>
      </c>
      <c r="F9" s="3" t="s">
        <v>32</v>
      </c>
      <c r="G9" s="6">
        <f t="shared" si="0"/>
        <v>4.7142857142857144</v>
      </c>
      <c r="H9">
        <f>'XH1'!G9</f>
        <v>5</v>
      </c>
      <c r="I9">
        <f>'KD1'!G9</f>
        <v>5</v>
      </c>
      <c r="J9">
        <f>'DG1'!G9</f>
        <v>5</v>
      </c>
      <c r="K9">
        <f>'SG1'!G9</f>
        <v>4</v>
      </c>
      <c r="L9">
        <f>'CM1'!G9</f>
        <v>5</v>
      </c>
      <c r="M9">
        <f>'VS1'!G9</f>
        <v>4</v>
      </c>
      <c r="N9">
        <f>'CD1'!G9</f>
        <v>5</v>
      </c>
    </row>
    <row r="10" spans="1:14" x14ac:dyDescent="0.2">
      <c r="A10" s="1" t="s">
        <v>35</v>
      </c>
      <c r="B10" s="2"/>
      <c r="C10" s="2"/>
      <c r="D10" s="2"/>
      <c r="E10" s="2"/>
      <c r="F10" s="2"/>
      <c r="G10" s="13"/>
      <c r="H10" t="str">
        <f>'XH1'!G10</f>
        <v>x</v>
      </c>
      <c r="I10">
        <f>'KD1'!G10</f>
        <v>0</v>
      </c>
      <c r="J10" t="str">
        <f>'DG1'!G10</f>
        <v>x</v>
      </c>
      <c r="K10" t="str">
        <f>'SG1'!G10</f>
        <v>x</v>
      </c>
      <c r="L10" t="str">
        <f>'CM1'!G10</f>
        <v>x</v>
      </c>
      <c r="M10" t="str">
        <f>'VS1'!G10</f>
        <v>x</v>
      </c>
    </row>
    <row r="11" spans="1:14" x14ac:dyDescent="0.2">
      <c r="A11" s="3" t="s">
        <v>36</v>
      </c>
      <c r="B11" s="2"/>
      <c r="C11" s="3" t="s">
        <v>37</v>
      </c>
      <c r="D11" s="3" t="s">
        <v>9</v>
      </c>
      <c r="E11" s="3" t="s">
        <v>9</v>
      </c>
      <c r="F11" s="2"/>
      <c r="G11" s="13"/>
      <c r="H11" t="str">
        <f>'XH1'!G11</f>
        <v>-</v>
      </c>
      <c r="I11">
        <f>'KD1'!G11</f>
        <v>0</v>
      </c>
      <c r="J11" t="str">
        <f>'DG1'!G11</f>
        <v>-</v>
      </c>
      <c r="K11" t="str">
        <f>'SG1'!G11</f>
        <v>-</v>
      </c>
      <c r="L11" t="str">
        <f>'CM1'!G11</f>
        <v>-</v>
      </c>
      <c r="M11" t="str">
        <f>'VS1'!G11</f>
        <v>-</v>
      </c>
    </row>
    <row r="12" spans="1:14" x14ac:dyDescent="0.2">
      <c r="A12" s="3" t="s">
        <v>38</v>
      </c>
      <c r="B12" s="3" t="s">
        <v>39</v>
      </c>
      <c r="C12" s="3" t="s">
        <v>40</v>
      </c>
      <c r="D12" s="3" t="s">
        <v>41</v>
      </c>
      <c r="E12" s="3" t="s">
        <v>42</v>
      </c>
      <c r="F12" s="3" t="s">
        <v>43</v>
      </c>
      <c r="G12" s="6">
        <f t="shared" si="0"/>
        <v>4.1428571428571432</v>
      </c>
      <c r="H12">
        <f>'XH1'!G12</f>
        <v>5</v>
      </c>
      <c r="I12">
        <f>'KD1'!G12</f>
        <v>5</v>
      </c>
      <c r="J12">
        <f>'DG1'!G12</f>
        <v>3</v>
      </c>
      <c r="K12">
        <f>'SG1'!G12</f>
        <v>4</v>
      </c>
      <c r="L12">
        <f>'CM1'!G12</f>
        <v>3</v>
      </c>
      <c r="M12">
        <f>'VS1'!G12</f>
        <v>4</v>
      </c>
      <c r="N12">
        <f>'CD1'!G12</f>
        <v>5</v>
      </c>
    </row>
    <row r="13" spans="1:14" x14ac:dyDescent="0.2">
      <c r="A13" s="3" t="s">
        <v>44</v>
      </c>
      <c r="B13" s="3" t="s">
        <v>45</v>
      </c>
      <c r="C13" s="3" t="s">
        <v>46</v>
      </c>
      <c r="D13" s="3" t="s">
        <v>47</v>
      </c>
      <c r="E13" s="3" t="s">
        <v>48</v>
      </c>
      <c r="F13" s="3" t="s">
        <v>49</v>
      </c>
      <c r="G13" s="6">
        <f t="shared" si="0"/>
        <v>4.4285714285714288</v>
      </c>
      <c r="H13">
        <f>'XH1'!G13</f>
        <v>4</v>
      </c>
      <c r="I13">
        <f>'KD1'!G13</f>
        <v>5</v>
      </c>
      <c r="J13">
        <f>'DG1'!G13</f>
        <v>5</v>
      </c>
      <c r="K13">
        <f>'SG1'!G13</f>
        <v>3</v>
      </c>
      <c r="L13">
        <f>'CM1'!G13</f>
        <v>5</v>
      </c>
      <c r="M13">
        <f>'VS1'!G13</f>
        <v>5</v>
      </c>
      <c r="N13">
        <f>'CD1'!G13</f>
        <v>4</v>
      </c>
    </row>
    <row r="14" spans="1:14" x14ac:dyDescent="0.2">
      <c r="A14" s="3" t="s">
        <v>50</v>
      </c>
      <c r="B14" s="3" t="s">
        <v>51</v>
      </c>
      <c r="C14" s="3" t="s">
        <v>52</v>
      </c>
      <c r="D14" s="3" t="s">
        <v>53</v>
      </c>
      <c r="E14" s="3" t="s">
        <v>48</v>
      </c>
      <c r="F14" s="3" t="s">
        <v>54</v>
      </c>
      <c r="G14" s="6">
        <f t="shared" si="0"/>
        <v>4.4285714285714288</v>
      </c>
      <c r="H14">
        <f>'XH1'!G14</f>
        <v>5</v>
      </c>
      <c r="I14">
        <f>'KD1'!G14</f>
        <v>5</v>
      </c>
      <c r="J14">
        <f>'DG1'!G14</f>
        <v>4</v>
      </c>
      <c r="K14">
        <f>'SG1'!G14</f>
        <v>4</v>
      </c>
      <c r="L14">
        <f>'CM1'!G14</f>
        <v>5</v>
      </c>
      <c r="M14">
        <f>'VS1'!G14</f>
        <v>4</v>
      </c>
      <c r="N14">
        <f>'CD1'!G14</f>
        <v>4</v>
      </c>
    </row>
    <row r="15" spans="1:14" x14ac:dyDescent="0.2">
      <c r="A15" s="3" t="s">
        <v>55</v>
      </c>
      <c r="B15" s="3" t="s">
        <v>56</v>
      </c>
      <c r="C15" s="3" t="s">
        <v>57</v>
      </c>
      <c r="D15" s="3" t="s">
        <v>58</v>
      </c>
      <c r="E15" s="3" t="s">
        <v>59</v>
      </c>
      <c r="F15" s="3" t="s">
        <v>60</v>
      </c>
      <c r="G15" s="12">
        <f t="shared" si="0"/>
        <v>3.4285714285714284</v>
      </c>
      <c r="H15">
        <f>'XH1'!G15</f>
        <v>4</v>
      </c>
      <c r="I15">
        <f>'KD1'!G15</f>
        <v>3</v>
      </c>
      <c r="J15">
        <f>'DG1'!G15</f>
        <v>4</v>
      </c>
      <c r="K15">
        <f>'SG1'!G15</f>
        <v>3</v>
      </c>
      <c r="L15">
        <f>'CM1'!G15</f>
        <v>3</v>
      </c>
      <c r="M15">
        <f>'VS1'!G15</f>
        <v>3</v>
      </c>
      <c r="N15">
        <f>'CD1'!G15</f>
        <v>4</v>
      </c>
    </row>
    <row r="16" spans="1:14" x14ac:dyDescent="0.2">
      <c r="A16" s="3" t="s">
        <v>61</v>
      </c>
      <c r="B16" s="3" t="s">
        <v>51</v>
      </c>
      <c r="C16" s="3" t="s">
        <v>62</v>
      </c>
      <c r="D16" s="3" t="s">
        <v>53</v>
      </c>
      <c r="E16" s="3" t="s">
        <v>48</v>
      </c>
      <c r="F16" s="3" t="s">
        <v>54</v>
      </c>
      <c r="G16" s="12">
        <f t="shared" si="0"/>
        <v>2.7142857142857144</v>
      </c>
      <c r="H16">
        <f>'XH1'!G16</f>
        <v>4</v>
      </c>
      <c r="I16">
        <f>'KD1'!G16</f>
        <v>2</v>
      </c>
      <c r="J16">
        <f>'DG1'!G16</f>
        <v>4</v>
      </c>
      <c r="K16">
        <f>'SG1'!G16</f>
        <v>1</v>
      </c>
      <c r="L16">
        <f>'CM1'!G16</f>
        <v>3</v>
      </c>
      <c r="M16">
        <f>'VS1'!G16</f>
        <v>2</v>
      </c>
      <c r="N16">
        <f>'CD1'!G16</f>
        <v>3</v>
      </c>
    </row>
    <row r="17" spans="1:14" x14ac:dyDescent="0.2">
      <c r="A17" s="1" t="s">
        <v>35</v>
      </c>
      <c r="B17" s="2"/>
      <c r="C17" s="2"/>
      <c r="D17" s="2"/>
      <c r="E17" s="2"/>
      <c r="F17" s="2"/>
      <c r="G17" s="13"/>
      <c r="H17" t="str">
        <f>'XH1'!G17</f>
        <v>x</v>
      </c>
      <c r="I17" t="str">
        <f>'KD1'!G17</f>
        <v>Renewable water availability</v>
      </c>
      <c r="J17" t="str">
        <f>'DG1'!G17</f>
        <v>x</v>
      </c>
      <c r="K17" t="str">
        <f>'SG1'!G17</f>
        <v>x</v>
      </c>
      <c r="L17" t="str">
        <f>'CM1'!G17</f>
        <v>x</v>
      </c>
      <c r="M17" t="str">
        <f>'VS1'!G17</f>
        <v>x</v>
      </c>
    </row>
    <row r="18" spans="1:14" x14ac:dyDescent="0.2">
      <c r="A18" s="3" t="s">
        <v>139</v>
      </c>
      <c r="B18" s="2"/>
      <c r="C18" s="3" t="s">
        <v>116</v>
      </c>
      <c r="D18" s="3" t="s">
        <v>9</v>
      </c>
      <c r="E18" s="3" t="s">
        <v>9</v>
      </c>
      <c r="F18" s="2"/>
      <c r="G18" s="13"/>
      <c r="H18" t="str">
        <f>'XH1'!G18</f>
        <v>-</v>
      </c>
      <c r="I18">
        <f>'KD1'!G18</f>
        <v>0</v>
      </c>
      <c r="J18" t="str">
        <f>'DG1'!G18</f>
        <v>-</v>
      </c>
      <c r="K18" t="str">
        <f>'SG1'!G18</f>
        <v>-</v>
      </c>
      <c r="L18" t="str">
        <f>'CM1'!G18</f>
        <v>-</v>
      </c>
      <c r="M18" t="str">
        <f>'VS1'!G18</f>
        <v>-</v>
      </c>
    </row>
    <row r="19" spans="1:14" x14ac:dyDescent="0.2">
      <c r="A19" s="3" t="s">
        <v>117</v>
      </c>
      <c r="B19" s="3" t="s">
        <v>118</v>
      </c>
      <c r="C19" s="3" t="s">
        <v>119</v>
      </c>
      <c r="D19" s="3" t="s">
        <v>120</v>
      </c>
      <c r="E19" s="3" t="s">
        <v>76</v>
      </c>
      <c r="F19" s="3" t="s">
        <v>121</v>
      </c>
      <c r="G19" s="12">
        <f t="shared" si="0"/>
        <v>3.4285714285714284</v>
      </c>
      <c r="H19">
        <f>'XH1'!G19</f>
        <v>5</v>
      </c>
      <c r="I19">
        <f>'KD1'!G19</f>
        <v>5</v>
      </c>
      <c r="J19">
        <f>'DG1'!G19</f>
        <v>3</v>
      </c>
      <c r="K19">
        <f>'SG1'!G19</f>
        <v>4</v>
      </c>
      <c r="L19">
        <f>'CM1'!G19</f>
        <v>2</v>
      </c>
      <c r="M19">
        <f>'VS1'!G19</f>
        <v>3</v>
      </c>
      <c r="N19">
        <f>'CD1'!G19</f>
        <v>2</v>
      </c>
    </row>
    <row r="20" spans="1:14" x14ac:dyDescent="0.2">
      <c r="A20" s="3" t="s">
        <v>122</v>
      </c>
      <c r="B20" s="3" t="s">
        <v>99</v>
      </c>
      <c r="C20" s="3" t="s">
        <v>123</v>
      </c>
      <c r="D20" s="3" t="s">
        <v>101</v>
      </c>
      <c r="E20" s="3" t="s">
        <v>25</v>
      </c>
      <c r="F20" s="3" t="s">
        <v>121</v>
      </c>
      <c r="G20" s="12">
        <f t="shared" si="0"/>
        <v>3</v>
      </c>
      <c r="H20">
        <f>'XH1'!G20</f>
        <v>4</v>
      </c>
      <c r="I20">
        <f>'KD1'!G20</f>
        <v>5</v>
      </c>
      <c r="J20">
        <f>'DG1'!G20</f>
        <v>2</v>
      </c>
      <c r="K20">
        <f>'SG1'!G20</f>
        <v>4</v>
      </c>
      <c r="L20">
        <f>'CM1'!G20</f>
        <v>1</v>
      </c>
      <c r="M20">
        <f>'VS1'!G20</f>
        <v>2</v>
      </c>
      <c r="N20">
        <f>'CD1'!G20</f>
        <v>3</v>
      </c>
    </row>
    <row r="21" spans="1:14" x14ac:dyDescent="0.2">
      <c r="A21" s="3" t="s">
        <v>124</v>
      </c>
      <c r="B21" s="3" t="s">
        <v>125</v>
      </c>
      <c r="C21" s="3" t="s">
        <v>126</v>
      </c>
      <c r="D21" s="3" t="s">
        <v>127</v>
      </c>
      <c r="E21" s="3" t="s">
        <v>76</v>
      </c>
      <c r="F21" s="3" t="s">
        <v>121</v>
      </c>
      <c r="G21" s="12">
        <f t="shared" si="0"/>
        <v>3.1428571428571428</v>
      </c>
      <c r="H21">
        <f>'XH1'!G21</f>
        <v>5</v>
      </c>
      <c r="I21">
        <f>'KD1'!G21</f>
        <v>2</v>
      </c>
      <c r="J21">
        <f>'DG1'!G21</f>
        <v>4</v>
      </c>
      <c r="K21">
        <f>'SG1'!G21</f>
        <v>4</v>
      </c>
      <c r="L21">
        <f>'CM1'!G21</f>
        <v>1</v>
      </c>
      <c r="M21">
        <f>'VS1'!G21</f>
        <v>3</v>
      </c>
      <c r="N21">
        <f>'CD1'!G21</f>
        <v>3</v>
      </c>
    </row>
    <row r="22" spans="1:14" x14ac:dyDescent="0.2">
      <c r="A22" s="3" t="s">
        <v>128</v>
      </c>
      <c r="B22" s="3" t="s">
        <v>99</v>
      </c>
      <c r="C22" s="3" t="s">
        <v>129</v>
      </c>
      <c r="D22" s="3" t="s">
        <v>101</v>
      </c>
      <c r="E22" s="3" t="s">
        <v>25</v>
      </c>
      <c r="F22" s="3" t="s">
        <v>102</v>
      </c>
      <c r="G22" s="7">
        <f t="shared" si="0"/>
        <v>3.5714285714285716</v>
      </c>
      <c r="H22">
        <f>'XH1'!G22</f>
        <v>5</v>
      </c>
      <c r="I22">
        <f>'KD1'!G22</f>
        <v>2</v>
      </c>
      <c r="J22">
        <f>'DG1'!G22</f>
        <v>4</v>
      </c>
      <c r="K22">
        <f>'SG1'!G22</f>
        <v>5</v>
      </c>
      <c r="L22">
        <f>'CM1'!G22</f>
        <v>1</v>
      </c>
      <c r="M22">
        <f>'VS1'!G22</f>
        <v>4</v>
      </c>
      <c r="N22">
        <f>'CD1'!G22</f>
        <v>4</v>
      </c>
    </row>
    <row r="23" spans="1:14" x14ac:dyDescent="0.2">
      <c r="A23" s="3" t="s">
        <v>130</v>
      </c>
      <c r="B23" s="3" t="s">
        <v>99</v>
      </c>
      <c r="C23" s="3" t="s">
        <v>131</v>
      </c>
      <c r="D23" s="3" t="s">
        <v>101</v>
      </c>
      <c r="E23" s="3" t="s">
        <v>25</v>
      </c>
      <c r="F23" s="3" t="s">
        <v>102</v>
      </c>
      <c r="G23" s="12">
        <f t="shared" si="0"/>
        <v>3.3333333333333335</v>
      </c>
      <c r="H23">
        <f>'XH1'!G23</f>
        <v>4</v>
      </c>
      <c r="I23">
        <f>'KD1'!G23</f>
        <v>3</v>
      </c>
      <c r="J23">
        <f>'DG1'!G23</f>
        <v>3</v>
      </c>
      <c r="K23" t="str">
        <f>'SG1'!G23</f>
        <v>x</v>
      </c>
      <c r="L23">
        <f>'CM1'!G23</f>
        <v>1</v>
      </c>
      <c r="M23">
        <f>'VS1'!G23</f>
        <v>5</v>
      </c>
      <c r="N23">
        <f>'CD1'!G23</f>
        <v>4</v>
      </c>
    </row>
    <row r="24" spans="1:14" x14ac:dyDescent="0.2">
      <c r="A24" s="3" t="s">
        <v>132</v>
      </c>
      <c r="B24" s="3" t="s">
        <v>133</v>
      </c>
      <c r="C24" s="3" t="s">
        <v>134</v>
      </c>
      <c r="D24" s="3">
        <v>2020</v>
      </c>
      <c r="E24" s="3" t="s">
        <v>76</v>
      </c>
      <c r="F24" s="4" t="s">
        <v>135</v>
      </c>
      <c r="G24" s="12">
        <f t="shared" si="0"/>
        <v>3.0714285714285716</v>
      </c>
      <c r="H24">
        <v>2.5</v>
      </c>
      <c r="I24">
        <f>'KD1'!G24</f>
        <v>5</v>
      </c>
      <c r="J24">
        <f>'DG1'!G24</f>
        <v>4</v>
      </c>
      <c r="K24">
        <f>'SG1'!G24</f>
        <v>3</v>
      </c>
      <c r="L24">
        <f>'CM1'!G24</f>
        <v>1</v>
      </c>
      <c r="M24">
        <f>'VS1'!G24</f>
        <v>2</v>
      </c>
      <c r="N24">
        <f>'CD1'!G24</f>
        <v>4</v>
      </c>
    </row>
    <row r="25" spans="1:14" x14ac:dyDescent="0.2">
      <c r="A25" s="1" t="s">
        <v>35</v>
      </c>
      <c r="B25" s="2"/>
      <c r="C25" s="2"/>
      <c r="D25" s="2"/>
      <c r="E25" s="2"/>
      <c r="F25" s="2"/>
      <c r="G25" s="13"/>
      <c r="H25">
        <f>'XH1'!G25</f>
        <v>0</v>
      </c>
      <c r="I25" t="str">
        <f>'KD1'!G25</f>
        <v>Crop-specific yield (irrig./rainfed); crop-specific harvested area (irrig./rainfed)</v>
      </c>
      <c r="J25">
        <f>'DG1'!G25</f>
        <v>0</v>
      </c>
      <c r="K25">
        <f>'SG1'!G25</f>
        <v>0</v>
      </c>
      <c r="L25">
        <f>'CM1'!G25</f>
        <v>0</v>
      </c>
      <c r="M25">
        <f>'VS1'!G25</f>
        <v>0</v>
      </c>
      <c r="N25">
        <f>'CD1'!G25</f>
        <v>0</v>
      </c>
    </row>
    <row r="26" spans="1:14" x14ac:dyDescent="0.2">
      <c r="A26" s="2"/>
      <c r="B26" s="2"/>
      <c r="C26" s="2"/>
      <c r="D26" s="2"/>
      <c r="E26" s="2"/>
      <c r="F26" s="2"/>
      <c r="G26" s="13"/>
      <c r="H26" t="str">
        <f>'XH1'!G26</f>
        <v>-</v>
      </c>
      <c r="I26">
        <f>'KD1'!G26</f>
        <v>0</v>
      </c>
      <c r="J26" t="str">
        <f>'DG1'!G26</f>
        <v>-</v>
      </c>
      <c r="K26" t="str">
        <f>'SG1'!G26</f>
        <v>-</v>
      </c>
      <c r="L26" t="str">
        <f>'CM1'!G26</f>
        <v>-</v>
      </c>
      <c r="M26" t="str">
        <f>'VS1'!G26</f>
        <v>-</v>
      </c>
    </row>
    <row r="27" spans="1:14" x14ac:dyDescent="0.2">
      <c r="A27" s="3" t="s">
        <v>63</v>
      </c>
      <c r="B27" s="2"/>
      <c r="C27" s="3" t="s">
        <v>64</v>
      </c>
      <c r="D27" s="3" t="s">
        <v>9</v>
      </c>
      <c r="E27" s="3" t="s">
        <v>9</v>
      </c>
      <c r="F27" s="2"/>
      <c r="G27" s="13"/>
      <c r="H27" t="str">
        <f>'XH1'!G27</f>
        <v>-</v>
      </c>
      <c r="I27">
        <f>'KD1'!G27</f>
        <v>0</v>
      </c>
      <c r="J27" t="str">
        <f>'DG1'!G27</f>
        <v>-</v>
      </c>
      <c r="K27" t="str">
        <f>'SG1'!G27</f>
        <v>-</v>
      </c>
      <c r="L27" t="str">
        <f>'CM1'!G27</f>
        <v>-</v>
      </c>
      <c r="M27" t="str">
        <f>'VS1'!G27</f>
        <v>-</v>
      </c>
    </row>
    <row r="28" spans="1:14" x14ac:dyDescent="0.2">
      <c r="A28" s="3" t="s">
        <v>65</v>
      </c>
      <c r="B28" s="2"/>
      <c r="C28" s="3" t="s">
        <v>66</v>
      </c>
      <c r="D28" s="3" t="s">
        <v>9</v>
      </c>
      <c r="E28" s="3" t="s">
        <v>9</v>
      </c>
      <c r="F28" s="2"/>
      <c r="G28" s="13"/>
      <c r="H28" t="str">
        <f>'XH1'!G28</f>
        <v>-</v>
      </c>
      <c r="I28">
        <f>'KD1'!G28</f>
        <v>0</v>
      </c>
      <c r="J28" t="str">
        <f>'DG1'!G28</f>
        <v>-</v>
      </c>
      <c r="K28" t="str">
        <f>'SG1'!G28</f>
        <v>-</v>
      </c>
      <c r="L28" t="str">
        <f>'CM1'!G28</f>
        <v>-</v>
      </c>
      <c r="M28" t="str">
        <f>'VS1'!G28</f>
        <v>-</v>
      </c>
    </row>
    <row r="29" spans="1:14" x14ac:dyDescent="0.2">
      <c r="A29" s="3" t="s">
        <v>67</v>
      </c>
      <c r="B29" s="3" t="s">
        <v>68</v>
      </c>
      <c r="C29" s="3" t="s">
        <v>69</v>
      </c>
      <c r="D29" s="3">
        <v>2017</v>
      </c>
      <c r="E29" s="3" t="s">
        <v>70</v>
      </c>
      <c r="F29" s="3" t="s">
        <v>71</v>
      </c>
      <c r="G29" s="12">
        <f>MEDIAN(H29:N29)</f>
        <v>4</v>
      </c>
      <c r="H29">
        <f>'XH1'!G29</f>
        <v>4</v>
      </c>
      <c r="I29">
        <f>'KD1'!G29</f>
        <v>4</v>
      </c>
      <c r="J29">
        <f>'DG1'!G29</f>
        <v>3</v>
      </c>
      <c r="K29">
        <f>'SG1'!G29</f>
        <v>4</v>
      </c>
      <c r="L29">
        <f>'CM1'!G29</f>
        <v>1</v>
      </c>
      <c r="M29">
        <f>'VS1'!G29</f>
        <v>5</v>
      </c>
      <c r="N29">
        <f>'CD1'!G29</f>
        <v>0</v>
      </c>
    </row>
    <row r="30" spans="1:14" x14ac:dyDescent="0.2">
      <c r="A30" s="3" t="s">
        <v>72</v>
      </c>
      <c r="B30" s="3" t="s">
        <v>73</v>
      </c>
      <c r="C30" s="3" t="s">
        <v>74</v>
      </c>
      <c r="D30" s="3" t="s">
        <v>75</v>
      </c>
      <c r="E30" s="3" t="s">
        <v>76</v>
      </c>
      <c r="F30" s="3" t="s">
        <v>77</v>
      </c>
      <c r="G30" s="7">
        <f t="shared" si="0"/>
        <v>3.8571428571428572</v>
      </c>
      <c r="H30">
        <f>'XH1'!G30</f>
        <v>3</v>
      </c>
      <c r="I30">
        <f>'KD1'!G30</f>
        <v>4</v>
      </c>
      <c r="J30">
        <f>'DG1'!G30</f>
        <v>4</v>
      </c>
      <c r="K30">
        <f>'SG1'!G30</f>
        <v>5</v>
      </c>
      <c r="L30">
        <f>'CM1'!G30</f>
        <v>4</v>
      </c>
      <c r="M30">
        <f>'VS1'!G30</f>
        <v>4</v>
      </c>
      <c r="N30">
        <f>'CD1'!G30</f>
        <v>3</v>
      </c>
    </row>
    <row r="31" spans="1:14" x14ac:dyDescent="0.2">
      <c r="A31" s="3" t="s">
        <v>78</v>
      </c>
      <c r="B31" s="3" t="s">
        <v>79</v>
      </c>
      <c r="C31" s="3" t="s">
        <v>80</v>
      </c>
      <c r="D31" s="3" t="s">
        <v>81</v>
      </c>
      <c r="E31" s="3" t="s">
        <v>76</v>
      </c>
      <c r="F31" s="3" t="s">
        <v>82</v>
      </c>
      <c r="G31" s="6">
        <f t="shared" si="0"/>
        <v>4.5714285714285712</v>
      </c>
      <c r="H31">
        <f>'XH1'!G31</f>
        <v>5</v>
      </c>
      <c r="I31">
        <f>'KD1'!G31</f>
        <v>5</v>
      </c>
      <c r="J31">
        <f>'DG1'!G31</f>
        <v>4</v>
      </c>
      <c r="K31">
        <f>'SG1'!G31</f>
        <v>5</v>
      </c>
      <c r="L31">
        <f>'CM1'!G31</f>
        <v>5</v>
      </c>
      <c r="M31">
        <f>'VS1'!G31</f>
        <v>4</v>
      </c>
      <c r="N31">
        <f>'CD1'!G31</f>
        <v>4</v>
      </c>
    </row>
    <row r="32" spans="1:14" x14ac:dyDescent="0.2">
      <c r="A32" s="3" t="s">
        <v>83</v>
      </c>
      <c r="B32" s="3" t="s">
        <v>84</v>
      </c>
      <c r="C32" s="3" t="s">
        <v>85</v>
      </c>
      <c r="D32" s="3" t="s">
        <v>86</v>
      </c>
      <c r="E32" s="3" t="s">
        <v>76</v>
      </c>
      <c r="F32" s="3" t="s">
        <v>87</v>
      </c>
      <c r="G32" s="6">
        <f t="shared" si="0"/>
        <v>4.2857142857142856</v>
      </c>
      <c r="H32">
        <f>'XH1'!G32</f>
        <v>5</v>
      </c>
      <c r="I32">
        <f>'KD1'!G32</f>
        <v>5</v>
      </c>
      <c r="J32">
        <f>'DG1'!G32</f>
        <v>4</v>
      </c>
      <c r="K32">
        <f>'SG1'!G32</f>
        <v>5</v>
      </c>
      <c r="L32">
        <f>'CM1'!G32</f>
        <v>3</v>
      </c>
      <c r="M32">
        <f>'VS1'!G32</f>
        <v>4</v>
      </c>
      <c r="N32">
        <f>'CD1'!G32</f>
        <v>4</v>
      </c>
    </row>
    <row r="33" spans="1:14" x14ac:dyDescent="0.2">
      <c r="A33" s="3" t="s">
        <v>88</v>
      </c>
      <c r="B33" s="3" t="s">
        <v>89</v>
      </c>
      <c r="C33" s="3" t="s">
        <v>90</v>
      </c>
      <c r="D33" s="3" t="s">
        <v>81</v>
      </c>
      <c r="E33" s="3" t="s">
        <v>91</v>
      </c>
      <c r="F33" s="3" t="s">
        <v>92</v>
      </c>
      <c r="G33" s="7">
        <f t="shared" si="0"/>
        <v>3.7142857142857144</v>
      </c>
      <c r="H33">
        <f>'XH1'!G33</f>
        <v>4</v>
      </c>
      <c r="I33">
        <f>'KD1'!G33</f>
        <v>5</v>
      </c>
      <c r="J33">
        <f>'DG1'!G33</f>
        <v>2</v>
      </c>
      <c r="K33">
        <f>'SG1'!G33</f>
        <v>5</v>
      </c>
      <c r="L33">
        <f>'CM1'!G33</f>
        <v>4</v>
      </c>
      <c r="M33">
        <f>'VS1'!G33</f>
        <v>3</v>
      </c>
      <c r="N33">
        <f>'CD1'!G33</f>
        <v>3</v>
      </c>
    </row>
    <row r="34" spans="1:14" x14ac:dyDescent="0.2">
      <c r="A34" s="3" t="s">
        <v>93</v>
      </c>
      <c r="B34" s="3" t="s">
        <v>94</v>
      </c>
      <c r="C34" s="3" t="s">
        <v>95</v>
      </c>
      <c r="D34" s="3" t="s">
        <v>96</v>
      </c>
      <c r="E34" s="3" t="s">
        <v>91</v>
      </c>
      <c r="F34" s="3" t="s">
        <v>97</v>
      </c>
      <c r="G34" s="12">
        <f t="shared" si="0"/>
        <v>3.4285714285714284</v>
      </c>
      <c r="H34">
        <f>'XH1'!G34</f>
        <v>4</v>
      </c>
      <c r="I34">
        <f>'KD1'!G34</f>
        <v>5</v>
      </c>
      <c r="J34">
        <f>'DG1'!G34</f>
        <v>3</v>
      </c>
      <c r="K34">
        <f>'SG1'!G34</f>
        <v>4</v>
      </c>
      <c r="L34">
        <f>'CM1'!G34</f>
        <v>2</v>
      </c>
      <c r="M34">
        <f>'VS1'!G34</f>
        <v>3</v>
      </c>
      <c r="N34">
        <f>'CD1'!G34</f>
        <v>3</v>
      </c>
    </row>
    <row r="35" spans="1:14" x14ac:dyDescent="0.2">
      <c r="A35" s="3" t="s">
        <v>98</v>
      </c>
      <c r="B35" s="3" t="s">
        <v>99</v>
      </c>
      <c r="C35" s="3" t="s">
        <v>100</v>
      </c>
      <c r="D35" s="3" t="s">
        <v>101</v>
      </c>
      <c r="E35" s="3" t="s">
        <v>25</v>
      </c>
      <c r="F35" s="3" t="s">
        <v>102</v>
      </c>
      <c r="G35" s="12">
        <f t="shared" si="0"/>
        <v>2.5</v>
      </c>
      <c r="H35">
        <f>'XH1'!G35</f>
        <v>4</v>
      </c>
      <c r="I35">
        <f>'KD1'!G35</f>
        <v>3</v>
      </c>
      <c r="J35">
        <f>'DG1'!G35</f>
        <v>2</v>
      </c>
      <c r="K35">
        <f>'SG1'!G35</f>
        <v>3</v>
      </c>
      <c r="L35">
        <f>'CM1'!G35</f>
        <v>1</v>
      </c>
      <c r="M35">
        <f>'VS1'!G35</f>
        <v>2</v>
      </c>
      <c r="N35" t="s">
        <v>18</v>
      </c>
    </row>
    <row r="36" spans="1:14" x14ac:dyDescent="0.2">
      <c r="A36" s="1" t="s">
        <v>35</v>
      </c>
      <c r="B36" s="2"/>
      <c r="C36" s="2"/>
      <c r="D36" s="2"/>
      <c r="E36" s="2"/>
      <c r="F36" s="2"/>
      <c r="G36" s="13"/>
      <c r="H36" t="str">
        <f>'XH1'!G36</f>
        <v>x</v>
      </c>
      <c r="I36" t="str">
        <f>'KD1'!G36</f>
        <v>Blue and green crop water requirements</v>
      </c>
      <c r="J36" t="str">
        <f>'DG1'!G36</f>
        <v>x</v>
      </c>
      <c r="K36" t="str">
        <f>'SG1'!G36</f>
        <v>x</v>
      </c>
      <c r="L36" t="str">
        <f>'CM1'!G36</f>
        <v>x</v>
      </c>
      <c r="M36" t="str">
        <f>'VS1'!G36</f>
        <v>x</v>
      </c>
    </row>
    <row r="37" spans="1:14" x14ac:dyDescent="0.2">
      <c r="A37" s="3" t="s">
        <v>103</v>
      </c>
      <c r="B37" s="2"/>
      <c r="C37" s="3" t="s">
        <v>104</v>
      </c>
      <c r="D37" s="3" t="s">
        <v>9</v>
      </c>
      <c r="E37" s="3" t="s">
        <v>9</v>
      </c>
      <c r="F37" s="2"/>
      <c r="G37" s="13"/>
      <c r="H37" t="str">
        <f>'XH1'!G37</f>
        <v>-</v>
      </c>
      <c r="I37">
        <f>'KD1'!G37</f>
        <v>0</v>
      </c>
      <c r="J37" t="str">
        <f>'DG1'!G37</f>
        <v>-</v>
      </c>
      <c r="K37" t="str">
        <f>'SG1'!G37</f>
        <v>-</v>
      </c>
      <c r="L37" t="str">
        <f>'CM1'!G37</f>
        <v>-</v>
      </c>
      <c r="M37" t="str">
        <f>'VS1'!G37</f>
        <v>-</v>
      </c>
    </row>
    <row r="38" spans="1:14" x14ac:dyDescent="0.2">
      <c r="A38" s="3" t="s">
        <v>105</v>
      </c>
      <c r="B38" s="3" t="s">
        <v>106</v>
      </c>
      <c r="C38" s="3" t="s">
        <v>107</v>
      </c>
      <c r="D38" s="3" t="s">
        <v>108</v>
      </c>
      <c r="E38" s="3" t="s">
        <v>109</v>
      </c>
      <c r="F38" s="2"/>
      <c r="G38" s="12">
        <f t="shared" si="0"/>
        <v>2.6666666666666665</v>
      </c>
      <c r="H38">
        <f>'XH1'!G38</f>
        <v>3</v>
      </c>
      <c r="I38">
        <f>'KD1'!G38</f>
        <v>3</v>
      </c>
      <c r="J38">
        <f>'DG1'!G38</f>
        <v>4</v>
      </c>
      <c r="K38">
        <f>'SG1'!G38</f>
        <v>3</v>
      </c>
      <c r="L38">
        <f>'CM1'!G38</f>
        <v>1</v>
      </c>
      <c r="M38">
        <f>'VS1'!G38</f>
        <v>2</v>
      </c>
      <c r="N38" t="s">
        <v>18</v>
      </c>
    </row>
    <row r="39" spans="1:14" x14ac:dyDescent="0.2">
      <c r="A39" s="3" t="s">
        <v>110</v>
      </c>
      <c r="B39" s="3" t="s">
        <v>106</v>
      </c>
      <c r="C39" s="3" t="s">
        <v>111</v>
      </c>
      <c r="D39" s="3" t="s">
        <v>108</v>
      </c>
      <c r="E39" s="3" t="s">
        <v>112</v>
      </c>
      <c r="F39" s="2"/>
      <c r="G39" s="12">
        <f t="shared" si="0"/>
        <v>2.6666666666666665</v>
      </c>
      <c r="H39">
        <f>'XH1'!G39</f>
        <v>3</v>
      </c>
      <c r="I39">
        <f>'KD1'!G39</f>
        <v>5</v>
      </c>
      <c r="J39">
        <f>'DG1'!G39</f>
        <v>3</v>
      </c>
      <c r="K39">
        <f>'SG1'!G39</f>
        <v>2</v>
      </c>
      <c r="L39">
        <f>'CM1'!G39</f>
        <v>1</v>
      </c>
      <c r="M39">
        <f>'VS1'!G39</f>
        <v>2</v>
      </c>
      <c r="N39" t="s">
        <v>18</v>
      </c>
    </row>
    <row r="40" spans="1:14" x14ac:dyDescent="0.2">
      <c r="A40" s="3" t="s">
        <v>113</v>
      </c>
      <c r="B40" s="3" t="s">
        <v>106</v>
      </c>
      <c r="C40" s="3" t="s">
        <v>114</v>
      </c>
      <c r="D40" s="3" t="s">
        <v>108</v>
      </c>
      <c r="E40" s="3" t="s">
        <v>115</v>
      </c>
      <c r="F40" s="2"/>
      <c r="G40" s="12">
        <f t="shared" si="0"/>
        <v>2.5</v>
      </c>
      <c r="H40">
        <f>'XH1'!G40</f>
        <v>3</v>
      </c>
      <c r="I40">
        <f>'KD1'!G40</f>
        <v>3</v>
      </c>
      <c r="J40">
        <f>'DG1'!G40</f>
        <v>4</v>
      </c>
      <c r="K40">
        <f>'SG1'!G40</f>
        <v>1</v>
      </c>
      <c r="L40">
        <f>'CM1'!G40</f>
        <v>1</v>
      </c>
      <c r="M40">
        <f>'VS1'!G40</f>
        <v>3</v>
      </c>
      <c r="N40" t="s">
        <v>18</v>
      </c>
    </row>
    <row r="41" spans="1:14" x14ac:dyDescent="0.2">
      <c r="A41" s="1" t="s">
        <v>35</v>
      </c>
      <c r="B41" s="2"/>
      <c r="C41" s="2"/>
      <c r="D41" s="2"/>
      <c r="E41" s="2"/>
      <c r="F41" s="2"/>
    </row>
  </sheetData>
  <hyperlinks>
    <hyperlink ref="F24" r:id="rId1" xr:uid="{FD97FA9F-4191-9A4D-ABFA-8272A84DED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F3CB-EEE3-2B4D-9419-F6EA2A65ADE2}">
  <dimension ref="A1:M51"/>
  <sheetViews>
    <sheetView topLeftCell="B1" zoomScale="130" zoomScaleNormal="130" workbookViewId="0">
      <selection activeCell="A32" sqref="A32"/>
    </sheetView>
  </sheetViews>
  <sheetFormatPr baseColWidth="10" defaultRowHeight="16" x14ac:dyDescent="0.2"/>
  <cols>
    <col min="1" max="1" width="71.5" bestFit="1" customWidth="1"/>
    <col min="2" max="2" width="20" customWidth="1"/>
    <col min="3" max="3" width="37.83203125" customWidth="1"/>
    <col min="4" max="4" width="25.1640625" bestFit="1" customWidth="1"/>
    <col min="5" max="5" width="30" bestFit="1" customWidth="1"/>
    <col min="6" max="6" width="12.33203125" customWidth="1"/>
  </cols>
  <sheetData>
    <row r="1" spans="1:13" x14ac:dyDescent="0.2">
      <c r="A1" t="s">
        <v>184</v>
      </c>
    </row>
    <row r="2" spans="1:13" x14ac:dyDescent="0.2">
      <c r="A2" s="1" t="s">
        <v>0</v>
      </c>
      <c r="B2" s="1" t="s">
        <v>1</v>
      </c>
      <c r="C2" s="1" t="s">
        <v>2</v>
      </c>
      <c r="D2" s="1" t="s">
        <v>3</v>
      </c>
      <c r="E2" s="1" t="s">
        <v>4</v>
      </c>
      <c r="F2" s="1" t="s">
        <v>5</v>
      </c>
      <c r="G2" s="1" t="s">
        <v>6</v>
      </c>
    </row>
    <row r="3" spans="1:13" x14ac:dyDescent="0.2">
      <c r="A3" s="3" t="s">
        <v>185</v>
      </c>
      <c r="B3" s="1"/>
      <c r="C3" s="1"/>
      <c r="D3" s="1"/>
      <c r="E3" s="1"/>
      <c r="F3" s="1"/>
      <c r="G3" s="1"/>
    </row>
    <row r="4" spans="1:13" x14ac:dyDescent="0.2">
      <c r="A4" s="11" t="s">
        <v>12</v>
      </c>
      <c r="B4" s="3" t="s">
        <v>13</v>
      </c>
      <c r="C4" s="3" t="s">
        <v>14</v>
      </c>
      <c r="D4" s="3" t="s">
        <v>15</v>
      </c>
      <c r="E4" s="3" t="s">
        <v>16</v>
      </c>
      <c r="F4" s="3" t="s">
        <v>17</v>
      </c>
      <c r="G4" s="7">
        <v>3.8333333333333335</v>
      </c>
      <c r="H4">
        <v>4</v>
      </c>
      <c r="I4">
        <v>5</v>
      </c>
      <c r="J4">
        <v>3</v>
      </c>
      <c r="K4">
        <v>3</v>
      </c>
      <c r="L4">
        <v>3</v>
      </c>
      <c r="M4">
        <v>5</v>
      </c>
    </row>
    <row r="5" spans="1:13" x14ac:dyDescent="0.2">
      <c r="A5" s="11" t="s">
        <v>21</v>
      </c>
      <c r="B5" s="3" t="s">
        <v>22</v>
      </c>
      <c r="C5" s="3" t="s">
        <v>23</v>
      </c>
      <c r="D5" s="3" t="s">
        <v>24</v>
      </c>
      <c r="E5" s="3" t="s">
        <v>25</v>
      </c>
      <c r="F5" s="3" t="s">
        <v>26</v>
      </c>
      <c r="G5" s="7">
        <v>3.5</v>
      </c>
      <c r="H5">
        <v>4</v>
      </c>
      <c r="I5">
        <v>3</v>
      </c>
      <c r="J5">
        <v>4</v>
      </c>
      <c r="K5">
        <v>3</v>
      </c>
      <c r="L5">
        <v>4</v>
      </c>
      <c r="M5">
        <v>3</v>
      </c>
    </row>
    <row r="6" spans="1:13" x14ac:dyDescent="0.2">
      <c r="A6" s="11" t="s">
        <v>207</v>
      </c>
      <c r="B6" s="3" t="s">
        <v>28</v>
      </c>
      <c r="C6" s="3" t="s">
        <v>29</v>
      </c>
      <c r="D6" s="3" t="s">
        <v>30</v>
      </c>
      <c r="E6" s="3" t="s">
        <v>31</v>
      </c>
      <c r="F6" s="3" t="s">
        <v>32</v>
      </c>
      <c r="G6" s="6">
        <v>4.5</v>
      </c>
      <c r="H6">
        <v>5</v>
      </c>
      <c r="I6">
        <v>5</v>
      </c>
      <c r="J6">
        <v>3</v>
      </c>
      <c r="K6">
        <v>5</v>
      </c>
      <c r="L6">
        <v>5</v>
      </c>
      <c r="M6">
        <v>4</v>
      </c>
    </row>
    <row r="7" spans="1:13" x14ac:dyDescent="0.2">
      <c r="A7" s="11" t="s">
        <v>217</v>
      </c>
      <c r="B7" s="3" t="s">
        <v>28</v>
      </c>
      <c r="C7" s="3" t="s">
        <v>34</v>
      </c>
      <c r="D7" s="3" t="s">
        <v>30</v>
      </c>
      <c r="E7" s="3" t="s">
        <v>31</v>
      </c>
      <c r="F7" s="3" t="s">
        <v>32</v>
      </c>
      <c r="G7" s="6">
        <v>4.666666666666667</v>
      </c>
      <c r="H7">
        <v>5</v>
      </c>
      <c r="I7">
        <v>5</v>
      </c>
      <c r="J7">
        <v>5</v>
      </c>
      <c r="K7">
        <v>4</v>
      </c>
      <c r="L7">
        <v>5</v>
      </c>
      <c r="M7">
        <v>4</v>
      </c>
    </row>
    <row r="8" spans="1:13" x14ac:dyDescent="0.2">
      <c r="A8" s="3"/>
      <c r="B8" s="3"/>
      <c r="C8" s="3"/>
      <c r="D8" s="3"/>
      <c r="E8" s="3"/>
      <c r="F8" s="3"/>
      <c r="G8" s="6"/>
    </row>
    <row r="9" spans="1:13" x14ac:dyDescent="0.2">
      <c r="A9" s="3" t="s">
        <v>186</v>
      </c>
      <c r="B9" s="3"/>
      <c r="C9" s="3"/>
      <c r="D9" s="3"/>
      <c r="E9" s="3"/>
      <c r="F9" s="3"/>
      <c r="G9" s="6"/>
    </row>
    <row r="10" spans="1:13" x14ac:dyDescent="0.2">
      <c r="A10" s="11" t="s">
        <v>205</v>
      </c>
      <c r="B10" s="3" t="s">
        <v>39</v>
      </c>
      <c r="C10" s="3" t="s">
        <v>40</v>
      </c>
      <c r="D10" s="3" t="s">
        <v>41</v>
      </c>
      <c r="E10" s="3" t="s">
        <v>42</v>
      </c>
      <c r="F10" s="3" t="s">
        <v>43</v>
      </c>
      <c r="G10" s="6">
        <v>4</v>
      </c>
      <c r="H10">
        <v>5</v>
      </c>
      <c r="I10">
        <v>5</v>
      </c>
      <c r="J10">
        <v>3</v>
      </c>
      <c r="K10">
        <v>4</v>
      </c>
      <c r="L10">
        <v>3</v>
      </c>
      <c r="M10">
        <v>4</v>
      </c>
    </row>
    <row r="11" spans="1:13" x14ac:dyDescent="0.2">
      <c r="A11" s="11" t="s">
        <v>44</v>
      </c>
      <c r="B11" s="3" t="s">
        <v>45</v>
      </c>
      <c r="C11" s="3" t="s">
        <v>46</v>
      </c>
      <c r="D11" s="3" t="s">
        <v>47</v>
      </c>
      <c r="E11" s="3" t="s">
        <v>48</v>
      </c>
      <c r="F11" s="3" t="s">
        <v>49</v>
      </c>
      <c r="G11" s="6">
        <v>4.5</v>
      </c>
      <c r="H11">
        <v>4</v>
      </c>
      <c r="I11">
        <v>5</v>
      </c>
      <c r="J11">
        <v>5</v>
      </c>
      <c r="K11">
        <v>3</v>
      </c>
      <c r="L11">
        <v>5</v>
      </c>
      <c r="M11">
        <v>5</v>
      </c>
    </row>
    <row r="12" spans="1:13" x14ac:dyDescent="0.2">
      <c r="A12" s="11" t="s">
        <v>223</v>
      </c>
      <c r="B12" s="3" t="s">
        <v>51</v>
      </c>
      <c r="C12" s="3" t="s">
        <v>52</v>
      </c>
      <c r="D12" s="3" t="s">
        <v>53</v>
      </c>
      <c r="E12" s="3" t="s">
        <v>48</v>
      </c>
      <c r="F12" s="3" t="s">
        <v>54</v>
      </c>
      <c r="G12" s="6">
        <v>4.5</v>
      </c>
      <c r="H12">
        <v>5</v>
      </c>
      <c r="I12">
        <v>5</v>
      </c>
      <c r="J12">
        <v>4</v>
      </c>
      <c r="K12">
        <v>4</v>
      </c>
      <c r="L12">
        <v>5</v>
      </c>
      <c r="M12">
        <v>4</v>
      </c>
    </row>
    <row r="13" spans="1:13" x14ac:dyDescent="0.2">
      <c r="A13" s="3"/>
      <c r="B13" s="3"/>
      <c r="C13" s="3"/>
      <c r="D13" s="3"/>
      <c r="E13" s="3"/>
      <c r="F13" s="3"/>
      <c r="G13" s="6"/>
    </row>
    <row r="14" spans="1:13" x14ac:dyDescent="0.2">
      <c r="A14" s="3" t="s">
        <v>187</v>
      </c>
      <c r="B14" s="3"/>
      <c r="C14" s="3"/>
      <c r="D14" s="3"/>
      <c r="E14" s="3"/>
      <c r="F14" s="3"/>
      <c r="G14" s="6"/>
    </row>
    <row r="15" spans="1:13" x14ac:dyDescent="0.2">
      <c r="A15" s="11" t="s">
        <v>117</v>
      </c>
      <c r="B15" s="3" t="s">
        <v>118</v>
      </c>
      <c r="C15" s="3" t="s">
        <v>119</v>
      </c>
      <c r="D15" s="3" t="s">
        <v>120</v>
      </c>
      <c r="E15" s="3" t="s">
        <v>76</v>
      </c>
      <c r="F15" s="3" t="s">
        <v>121</v>
      </c>
      <c r="G15" s="7">
        <v>3.6666666666666665</v>
      </c>
      <c r="H15">
        <v>5</v>
      </c>
      <c r="I15">
        <v>5</v>
      </c>
      <c r="J15">
        <v>3</v>
      </c>
      <c r="K15">
        <v>4</v>
      </c>
      <c r="L15">
        <v>2</v>
      </c>
      <c r="M15">
        <v>3</v>
      </c>
    </row>
    <row r="16" spans="1:13" x14ac:dyDescent="0.2">
      <c r="A16" s="11" t="s">
        <v>210</v>
      </c>
      <c r="B16" s="3" t="s">
        <v>99</v>
      </c>
      <c r="C16" s="3" t="s">
        <v>129</v>
      </c>
      <c r="D16" s="3" t="s">
        <v>101</v>
      </c>
      <c r="E16" s="3" t="s">
        <v>25</v>
      </c>
      <c r="F16" s="3" t="s">
        <v>102</v>
      </c>
      <c r="G16" s="7">
        <v>3.5</v>
      </c>
      <c r="H16">
        <v>5</v>
      </c>
      <c r="I16">
        <v>2</v>
      </c>
      <c r="J16">
        <v>4</v>
      </c>
      <c r="K16">
        <v>5</v>
      </c>
      <c r="L16">
        <v>1</v>
      </c>
      <c r="M16">
        <v>4</v>
      </c>
    </row>
    <row r="17" spans="1:13" x14ac:dyDescent="0.2">
      <c r="A17" s="3"/>
      <c r="B17" s="3"/>
      <c r="C17" s="3"/>
      <c r="D17" s="3"/>
      <c r="E17" s="3"/>
      <c r="F17" s="3"/>
      <c r="G17" s="7"/>
    </row>
    <row r="18" spans="1:13" x14ac:dyDescent="0.2">
      <c r="A18" s="3" t="s">
        <v>188</v>
      </c>
      <c r="B18" s="3"/>
      <c r="C18" s="3"/>
      <c r="D18" s="3"/>
      <c r="E18" s="3"/>
      <c r="F18" s="3"/>
      <c r="G18" s="7"/>
    </row>
    <row r="19" spans="1:13" x14ac:dyDescent="0.2">
      <c r="A19" s="11" t="s">
        <v>211</v>
      </c>
      <c r="B19" s="3" t="s">
        <v>68</v>
      </c>
      <c r="C19" s="3" t="s">
        <v>69</v>
      </c>
      <c r="D19" s="3">
        <v>2017</v>
      </c>
      <c r="E19" s="3" t="s">
        <v>70</v>
      </c>
      <c r="F19" s="3" t="s">
        <v>71</v>
      </c>
      <c r="G19" s="7">
        <v>3.5</v>
      </c>
      <c r="H19">
        <v>4</v>
      </c>
      <c r="I19">
        <v>4</v>
      </c>
      <c r="J19">
        <v>3</v>
      </c>
      <c r="K19">
        <v>4</v>
      </c>
      <c r="L19">
        <v>1</v>
      </c>
      <c r="M19">
        <v>5</v>
      </c>
    </row>
    <row r="20" spans="1:13" x14ac:dyDescent="0.2">
      <c r="A20" s="11" t="s">
        <v>72</v>
      </c>
      <c r="B20" s="3" t="s">
        <v>73</v>
      </c>
      <c r="C20" s="3" t="s">
        <v>74</v>
      </c>
      <c r="D20" s="3" t="s">
        <v>75</v>
      </c>
      <c r="E20" s="3" t="s">
        <v>76</v>
      </c>
      <c r="F20" s="3" t="s">
        <v>77</v>
      </c>
      <c r="G20" s="6">
        <v>4</v>
      </c>
      <c r="H20">
        <v>3</v>
      </c>
      <c r="I20">
        <v>4</v>
      </c>
      <c r="J20">
        <v>4</v>
      </c>
      <c r="K20">
        <v>5</v>
      </c>
      <c r="L20">
        <v>4</v>
      </c>
      <c r="M20">
        <v>4</v>
      </c>
    </row>
    <row r="21" spans="1:13" x14ac:dyDescent="0.2">
      <c r="A21" s="11" t="s">
        <v>78</v>
      </c>
      <c r="B21" s="3" t="s">
        <v>79</v>
      </c>
      <c r="C21" s="3" t="s">
        <v>80</v>
      </c>
      <c r="D21" s="3" t="s">
        <v>81</v>
      </c>
      <c r="E21" s="3" t="s">
        <v>76</v>
      </c>
      <c r="F21" s="3" t="s">
        <v>82</v>
      </c>
      <c r="G21" s="6">
        <v>4.666666666666667</v>
      </c>
      <c r="H21">
        <v>5</v>
      </c>
      <c r="I21">
        <v>5</v>
      </c>
      <c r="J21">
        <v>4</v>
      </c>
      <c r="K21">
        <v>5</v>
      </c>
      <c r="L21">
        <v>5</v>
      </c>
      <c r="M21">
        <v>4</v>
      </c>
    </row>
    <row r="22" spans="1:13" x14ac:dyDescent="0.2">
      <c r="A22" s="11" t="s">
        <v>83</v>
      </c>
      <c r="B22" s="3" t="s">
        <v>84</v>
      </c>
      <c r="C22" s="3" t="s">
        <v>85</v>
      </c>
      <c r="D22" s="3" t="s">
        <v>86</v>
      </c>
      <c r="E22" s="3" t="s">
        <v>76</v>
      </c>
      <c r="F22" s="3" t="s">
        <v>87</v>
      </c>
      <c r="G22" s="6">
        <v>4.333333333333333</v>
      </c>
      <c r="H22">
        <v>5</v>
      </c>
      <c r="I22">
        <v>5</v>
      </c>
      <c r="J22">
        <v>4</v>
      </c>
      <c r="K22">
        <v>5</v>
      </c>
      <c r="L22">
        <v>3</v>
      </c>
      <c r="M22">
        <v>4</v>
      </c>
    </row>
    <row r="23" spans="1:13" x14ac:dyDescent="0.2">
      <c r="A23" s="11" t="s">
        <v>88</v>
      </c>
      <c r="B23" s="3" t="s">
        <v>89</v>
      </c>
      <c r="C23" s="3" t="s">
        <v>90</v>
      </c>
      <c r="D23" s="3" t="s">
        <v>81</v>
      </c>
      <c r="E23" s="3" t="s">
        <v>91</v>
      </c>
      <c r="F23" s="3" t="s">
        <v>92</v>
      </c>
      <c r="G23" s="7">
        <v>3.8333333333333335</v>
      </c>
      <c r="H23">
        <v>4</v>
      </c>
      <c r="I23">
        <v>5</v>
      </c>
      <c r="J23">
        <v>2</v>
      </c>
      <c r="K23">
        <v>5</v>
      </c>
      <c r="L23">
        <v>4</v>
      </c>
      <c r="M23">
        <v>3</v>
      </c>
    </row>
    <row r="24" spans="1:13" x14ac:dyDescent="0.2">
      <c r="A24" s="11" t="s">
        <v>93</v>
      </c>
      <c r="B24" s="3" t="s">
        <v>94</v>
      </c>
      <c r="C24" s="3" t="s">
        <v>95</v>
      </c>
      <c r="D24" s="3" t="s">
        <v>96</v>
      </c>
      <c r="E24" s="3" t="s">
        <v>91</v>
      </c>
      <c r="F24" s="3" t="s">
        <v>97</v>
      </c>
      <c r="G24" s="7">
        <v>3.5</v>
      </c>
      <c r="H24">
        <v>4</v>
      </c>
      <c r="I24">
        <v>5</v>
      </c>
      <c r="J24">
        <v>3</v>
      </c>
      <c r="K24">
        <v>4</v>
      </c>
      <c r="L24">
        <v>2</v>
      </c>
      <c r="M24">
        <v>3</v>
      </c>
    </row>
    <row r="26" spans="1:13" x14ac:dyDescent="0.2">
      <c r="A26" s="3" t="s">
        <v>189</v>
      </c>
    </row>
    <row r="27" spans="1:13" x14ac:dyDescent="0.2">
      <c r="A27" s="11" t="s">
        <v>190</v>
      </c>
      <c r="B27" s="3" t="s">
        <v>225</v>
      </c>
    </row>
    <row r="28" spans="1:13" x14ac:dyDescent="0.2">
      <c r="A28" s="11" t="s">
        <v>191</v>
      </c>
      <c r="B28" s="3" t="s">
        <v>225</v>
      </c>
    </row>
    <row r="29" spans="1:13" x14ac:dyDescent="0.2">
      <c r="A29" s="3" t="s">
        <v>192</v>
      </c>
      <c r="B29" t="s">
        <v>208</v>
      </c>
    </row>
    <row r="30" spans="1:13" x14ac:dyDescent="0.2">
      <c r="A30" s="3" t="s">
        <v>228</v>
      </c>
      <c r="B30" t="s">
        <v>229</v>
      </c>
      <c r="C30" t="s">
        <v>230</v>
      </c>
      <c r="D30" t="s">
        <v>236</v>
      </c>
      <c r="E30" t="s">
        <v>251</v>
      </c>
    </row>
    <row r="31" spans="1:13" x14ac:dyDescent="0.2">
      <c r="A31" s="8" t="s">
        <v>144</v>
      </c>
      <c r="B31" t="s">
        <v>212</v>
      </c>
      <c r="C31" t="s">
        <v>213</v>
      </c>
    </row>
    <row r="32" spans="1:13" x14ac:dyDescent="0.2">
      <c r="A32" s="3" t="s">
        <v>145</v>
      </c>
      <c r="B32" t="s">
        <v>244</v>
      </c>
    </row>
    <row r="33" spans="1:4" x14ac:dyDescent="0.2">
      <c r="A33" s="3" t="s">
        <v>220</v>
      </c>
      <c r="B33" t="s">
        <v>206</v>
      </c>
    </row>
    <row r="34" spans="1:4" x14ac:dyDescent="0.2">
      <c r="A34" s="3" t="s">
        <v>193</v>
      </c>
      <c r="B34" t="s">
        <v>242</v>
      </c>
      <c r="C34" t="s">
        <v>248</v>
      </c>
    </row>
    <row r="35" spans="1:4" x14ac:dyDescent="0.2">
      <c r="A35" s="3" t="s">
        <v>194</v>
      </c>
      <c r="B35" t="s">
        <v>224</v>
      </c>
      <c r="C35" t="s">
        <v>247</v>
      </c>
      <c r="D35" t="s">
        <v>249</v>
      </c>
    </row>
    <row r="36" spans="1:4" x14ac:dyDescent="0.2">
      <c r="A36" s="3" t="s">
        <v>195</v>
      </c>
      <c r="B36" t="s">
        <v>239</v>
      </c>
      <c r="C36" t="s">
        <v>240</v>
      </c>
      <c r="D36" t="s">
        <v>241</v>
      </c>
    </row>
    <row r="37" spans="1:4" x14ac:dyDescent="0.2">
      <c r="A37" s="3" t="s">
        <v>196</v>
      </c>
      <c r="B37" t="s">
        <v>245</v>
      </c>
    </row>
    <row r="38" spans="1:4" x14ac:dyDescent="0.2">
      <c r="A38" s="3" t="s">
        <v>197</v>
      </c>
      <c r="B38" t="s">
        <v>214</v>
      </c>
      <c r="C38" t="s">
        <v>230</v>
      </c>
      <c r="D38" t="s">
        <v>246</v>
      </c>
    </row>
    <row r="39" spans="1:4" x14ac:dyDescent="0.2">
      <c r="A39" s="11" t="s">
        <v>198</v>
      </c>
      <c r="B39" t="s">
        <v>226</v>
      </c>
      <c r="C39" t="s">
        <v>250</v>
      </c>
    </row>
    <row r="40" spans="1:4" x14ac:dyDescent="0.2">
      <c r="A40" s="3" t="s">
        <v>199</v>
      </c>
      <c r="B40" t="s">
        <v>206</v>
      </c>
      <c r="C40" t="s">
        <v>227</v>
      </c>
    </row>
    <row r="41" spans="1:4" x14ac:dyDescent="0.2">
      <c r="A41" s="3" t="s">
        <v>200</v>
      </c>
      <c r="B41" t="s">
        <v>206</v>
      </c>
      <c r="C41" t="s">
        <v>209</v>
      </c>
    </row>
    <row r="42" spans="1:4" x14ac:dyDescent="0.2">
      <c r="A42" s="3" t="s">
        <v>201</v>
      </c>
      <c r="B42" t="s">
        <v>215</v>
      </c>
    </row>
    <row r="43" spans="1:4" x14ac:dyDescent="0.2">
      <c r="A43" s="3" t="s">
        <v>202</v>
      </c>
    </row>
    <row r="44" spans="1:4" x14ac:dyDescent="0.2">
      <c r="A44" s="3" t="s">
        <v>203</v>
      </c>
    </row>
    <row r="45" spans="1:4" x14ac:dyDescent="0.2">
      <c r="A45" s="11" t="s">
        <v>204</v>
      </c>
    </row>
    <row r="46" spans="1:4" x14ac:dyDescent="0.2">
      <c r="A46" s="14" t="s">
        <v>218</v>
      </c>
      <c r="B46" s="15" t="s">
        <v>219</v>
      </c>
    </row>
    <row r="47" spans="1:4" x14ac:dyDescent="0.2">
      <c r="A47" s="3" t="s">
        <v>221</v>
      </c>
      <c r="B47" t="s">
        <v>243</v>
      </c>
    </row>
    <row r="48" spans="1:4" x14ac:dyDescent="0.2">
      <c r="A48" s="3" t="s">
        <v>222</v>
      </c>
    </row>
    <row r="50" spans="1:2" x14ac:dyDescent="0.2">
      <c r="A50" s="3" t="s">
        <v>237</v>
      </c>
      <c r="B50" t="s">
        <v>238</v>
      </c>
    </row>
    <row r="51" spans="1:2" x14ac:dyDescent="0.2">
      <c r="A51" t="s">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A294-AB40-F347-B283-C4C460215574}">
  <dimension ref="A1:Y61"/>
  <sheetViews>
    <sheetView topLeftCell="A14" zoomScale="125" workbookViewId="0">
      <selection activeCell="A36" sqref="A36:XFD36"/>
    </sheetView>
  </sheetViews>
  <sheetFormatPr baseColWidth="10" defaultRowHeight="16" x14ac:dyDescent="0.2"/>
  <cols>
    <col min="1" max="1" width="58.5" customWidth="1"/>
    <col min="2" max="2" width="22.1640625" customWidth="1"/>
    <col min="3" max="3" width="65.5" customWidth="1"/>
    <col min="4" max="4" width="16.5" customWidth="1"/>
    <col min="5" max="5" width="17.5" customWidth="1"/>
    <col min="6" max="6" width="9.6640625" customWidth="1"/>
    <col min="7" max="8" width="12.1640625" customWidth="1"/>
  </cols>
  <sheetData>
    <row r="1" spans="1:15" x14ac:dyDescent="0.2">
      <c r="A1" s="1" t="s">
        <v>0</v>
      </c>
      <c r="B1" s="1" t="s">
        <v>1</v>
      </c>
      <c r="C1" s="1" t="s">
        <v>2</v>
      </c>
      <c r="D1" s="1" t="s">
        <v>3</v>
      </c>
      <c r="E1" s="1" t="s">
        <v>4</v>
      </c>
      <c r="F1" s="1" t="s">
        <v>5</v>
      </c>
      <c r="G1" s="1" t="s">
        <v>6</v>
      </c>
      <c r="H1" s="1"/>
    </row>
    <row r="2" spans="1:15" x14ac:dyDescent="0.2">
      <c r="A2" s="2"/>
      <c r="B2" s="2"/>
      <c r="C2" s="2"/>
      <c r="D2" s="2"/>
      <c r="E2" s="2"/>
      <c r="F2" s="2"/>
      <c r="G2" s="2"/>
      <c r="H2" s="2"/>
      <c r="I2" t="s">
        <v>178</v>
      </c>
      <c r="J2" t="s">
        <v>179</v>
      </c>
      <c r="K2" t="s">
        <v>180</v>
      </c>
      <c r="L2" t="s">
        <v>181</v>
      </c>
      <c r="M2" t="s">
        <v>182</v>
      </c>
      <c r="N2" t="s">
        <v>183</v>
      </c>
      <c r="O2" t="s">
        <v>235</v>
      </c>
    </row>
    <row r="3" spans="1:15" x14ac:dyDescent="0.2">
      <c r="A3" s="1" t="s">
        <v>7</v>
      </c>
      <c r="B3" s="2"/>
      <c r="C3" s="3" t="s">
        <v>8</v>
      </c>
      <c r="D3" s="3" t="s">
        <v>9</v>
      </c>
      <c r="E3" s="3" t="s">
        <v>9</v>
      </c>
      <c r="F3" s="2"/>
      <c r="G3" s="3" t="s">
        <v>9</v>
      </c>
      <c r="H3" s="3"/>
      <c r="I3" t="str">
        <f>'XH1'!G3</f>
        <v>-</v>
      </c>
      <c r="J3">
        <f>'KD1'!G3</f>
        <v>0</v>
      </c>
      <c r="K3" t="str">
        <f>'DG1'!G3</f>
        <v>-</v>
      </c>
      <c r="L3" t="str">
        <f>'SG1'!G3</f>
        <v>-</v>
      </c>
      <c r="M3" t="str">
        <f>'CM1'!G3</f>
        <v>-</v>
      </c>
      <c r="N3" t="str">
        <f>'VS1'!G3</f>
        <v>-</v>
      </c>
    </row>
    <row r="4" spans="1:15" x14ac:dyDescent="0.2">
      <c r="A4" s="19" t="s">
        <v>10</v>
      </c>
      <c r="B4" s="2"/>
      <c r="C4" s="3" t="s">
        <v>11</v>
      </c>
      <c r="D4" s="3" t="s">
        <v>9</v>
      </c>
      <c r="E4" s="3" t="s">
        <v>9</v>
      </c>
      <c r="F4" s="2"/>
      <c r="G4" s="3" t="s">
        <v>252</v>
      </c>
      <c r="H4" s="3" t="s">
        <v>253</v>
      </c>
      <c r="I4" t="str">
        <f>'XH1'!G4</f>
        <v>-</v>
      </c>
      <c r="J4">
        <f>'KD1'!G4</f>
        <v>0</v>
      </c>
      <c r="K4" t="str">
        <f>'DG1'!G4</f>
        <v>-</v>
      </c>
      <c r="L4" t="str">
        <f>'SG1'!G4</f>
        <v>-</v>
      </c>
      <c r="M4" t="str">
        <f>'CM1'!G4</f>
        <v>-</v>
      </c>
      <c r="N4" t="str">
        <f>'VS1'!G4</f>
        <v>-</v>
      </c>
    </row>
    <row r="5" spans="1:15" x14ac:dyDescent="0.2">
      <c r="A5" s="3" t="s">
        <v>12</v>
      </c>
      <c r="B5" s="3" t="s">
        <v>13</v>
      </c>
      <c r="C5" s="3" t="s">
        <v>263</v>
      </c>
      <c r="D5" s="3" t="s">
        <v>15</v>
      </c>
      <c r="E5" s="3" t="s">
        <v>16</v>
      </c>
      <c r="F5" s="3" t="s">
        <v>17</v>
      </c>
      <c r="G5" s="7">
        <f>AVERAGE(I5:O5)</f>
        <v>3.8571428571428572</v>
      </c>
      <c r="H5" s="13">
        <f>MEDIAN(I5:O5)</f>
        <v>4</v>
      </c>
      <c r="I5">
        <f>'XH1'!G5</f>
        <v>4</v>
      </c>
      <c r="J5">
        <f>'KD1'!G5</f>
        <v>5</v>
      </c>
      <c r="K5">
        <f>'DG1'!G5</f>
        <v>3</v>
      </c>
      <c r="L5">
        <f>'SG1'!G5</f>
        <v>3</v>
      </c>
      <c r="M5">
        <f>'CM1'!G5</f>
        <v>3</v>
      </c>
      <c r="N5">
        <f>'VS1'!G5</f>
        <v>5</v>
      </c>
      <c r="O5">
        <f>'CD1'!G5</f>
        <v>4</v>
      </c>
    </row>
    <row r="6" spans="1:15" x14ac:dyDescent="0.2">
      <c r="A6" s="3" t="s">
        <v>19</v>
      </c>
      <c r="B6" s="3" t="s">
        <v>13</v>
      </c>
      <c r="C6" s="3" t="s">
        <v>264</v>
      </c>
      <c r="D6" s="3" t="s">
        <v>15</v>
      </c>
      <c r="E6" s="3" t="s">
        <v>16</v>
      </c>
      <c r="F6" s="3" t="s">
        <v>17</v>
      </c>
      <c r="G6" s="12">
        <f t="shared" ref="G6:G34" si="0">AVERAGE(I6:O6)</f>
        <v>2.5714285714285716</v>
      </c>
      <c r="H6" s="13">
        <f t="shared" ref="H6:H34" si="1">MEDIAN(I6:O6)</f>
        <v>3</v>
      </c>
      <c r="I6">
        <f>'XH1'!G6</f>
        <v>3</v>
      </c>
      <c r="J6">
        <f>'KD1'!G6</f>
        <v>3</v>
      </c>
      <c r="K6">
        <f>'DG1'!G6</f>
        <v>2</v>
      </c>
      <c r="L6">
        <f>'SG1'!G6</f>
        <v>2</v>
      </c>
      <c r="M6">
        <f>'CM1'!G6</f>
        <v>3</v>
      </c>
      <c r="N6">
        <f>'VS1'!G6</f>
        <v>3</v>
      </c>
      <c r="O6">
        <f>'CD1'!G6</f>
        <v>2</v>
      </c>
    </row>
    <row r="7" spans="1:15" x14ac:dyDescent="0.2">
      <c r="A7" s="3" t="s">
        <v>21</v>
      </c>
      <c r="B7" s="3" t="s">
        <v>22</v>
      </c>
      <c r="C7" s="3" t="s">
        <v>262</v>
      </c>
      <c r="D7" s="3" t="s">
        <v>24</v>
      </c>
      <c r="E7" s="3" t="s">
        <v>25</v>
      </c>
      <c r="F7" s="3" t="s">
        <v>26</v>
      </c>
      <c r="G7" s="12">
        <f t="shared" si="0"/>
        <v>3.4285714285714284</v>
      </c>
      <c r="H7" s="13">
        <f t="shared" si="1"/>
        <v>3</v>
      </c>
      <c r="I7">
        <f>'XH1'!G7</f>
        <v>4</v>
      </c>
      <c r="J7">
        <f>'KD1'!G7</f>
        <v>3</v>
      </c>
      <c r="K7">
        <f>'DG1'!G7</f>
        <v>4</v>
      </c>
      <c r="L7">
        <f>'SG1'!G7</f>
        <v>3</v>
      </c>
      <c r="M7">
        <f>'CM1'!G7</f>
        <v>4</v>
      </c>
      <c r="N7">
        <f>'VS1'!G7</f>
        <v>3</v>
      </c>
      <c r="O7">
        <f>'CD1'!G7</f>
        <v>3</v>
      </c>
    </row>
    <row r="8" spans="1:15" x14ac:dyDescent="0.2">
      <c r="A8" s="20" t="s">
        <v>33</v>
      </c>
      <c r="B8" s="3" t="s">
        <v>28</v>
      </c>
      <c r="C8" s="3" t="s">
        <v>34</v>
      </c>
      <c r="D8" s="3" t="s">
        <v>30</v>
      </c>
      <c r="E8" s="3" t="s">
        <v>31</v>
      </c>
      <c r="F8" s="3" t="s">
        <v>32</v>
      </c>
      <c r="G8" s="6">
        <f>AVERAGE(I8:O8)</f>
        <v>4.7142857142857144</v>
      </c>
      <c r="H8" s="13">
        <f>MEDIAN(I8:O8)</f>
        <v>5</v>
      </c>
      <c r="I8">
        <f>'XH1'!G9</f>
        <v>5</v>
      </c>
      <c r="J8">
        <f>'KD1'!G9</f>
        <v>5</v>
      </c>
      <c r="K8">
        <f>'DG1'!G9</f>
        <v>5</v>
      </c>
      <c r="L8">
        <f>'SG1'!G9</f>
        <v>4</v>
      </c>
      <c r="M8">
        <f>'CM1'!G9</f>
        <v>5</v>
      </c>
      <c r="N8">
        <f>'VS1'!G9</f>
        <v>4</v>
      </c>
      <c r="O8">
        <f>'CD1'!G9</f>
        <v>5</v>
      </c>
    </row>
    <row r="9" spans="1:15" x14ac:dyDescent="0.2">
      <c r="A9" s="3" t="s">
        <v>313</v>
      </c>
      <c r="B9" s="3" t="s">
        <v>13</v>
      </c>
      <c r="C9" s="3" t="s">
        <v>281</v>
      </c>
      <c r="D9" s="3" t="s">
        <v>15</v>
      </c>
      <c r="E9" s="3" t="s">
        <v>16</v>
      </c>
      <c r="F9" s="3" t="s">
        <v>17</v>
      </c>
      <c r="G9" s="6"/>
      <c r="H9" s="13"/>
    </row>
    <row r="10" spans="1:15" x14ac:dyDescent="0.2">
      <c r="A10" s="3" t="s">
        <v>258</v>
      </c>
      <c r="B10" s="3" t="s">
        <v>314</v>
      </c>
      <c r="C10" s="3" t="s">
        <v>261</v>
      </c>
      <c r="D10" s="3" t="s">
        <v>314</v>
      </c>
      <c r="E10" s="3" t="s">
        <v>314</v>
      </c>
      <c r="F10" s="3" t="s">
        <v>314</v>
      </c>
      <c r="G10" s="6"/>
      <c r="H10" s="13"/>
    </row>
    <row r="13" spans="1:15" x14ac:dyDescent="0.2">
      <c r="A13" s="1"/>
      <c r="B13" s="2"/>
      <c r="C13" s="2"/>
      <c r="D13" s="2"/>
      <c r="E13" s="2"/>
      <c r="F13" s="2"/>
      <c r="G13" s="13"/>
      <c r="H13" s="13"/>
      <c r="I13" t="str">
        <f>'XH1'!G10</f>
        <v>x</v>
      </c>
      <c r="J13">
        <f>'KD1'!G10</f>
        <v>0</v>
      </c>
      <c r="K13" t="str">
        <f>'DG1'!G10</f>
        <v>x</v>
      </c>
      <c r="L13" t="str">
        <f>'SG1'!G10</f>
        <v>x</v>
      </c>
      <c r="M13" t="str">
        <f>'CM1'!G10</f>
        <v>x</v>
      </c>
      <c r="N13" t="str">
        <f>'VS1'!G10</f>
        <v>x</v>
      </c>
    </row>
    <row r="14" spans="1:15" x14ac:dyDescent="0.2">
      <c r="A14" s="19" t="s">
        <v>36</v>
      </c>
      <c r="B14" s="2"/>
      <c r="C14" s="3" t="s">
        <v>37</v>
      </c>
      <c r="D14" s="3" t="s">
        <v>9</v>
      </c>
      <c r="E14" s="3" t="s">
        <v>9</v>
      </c>
      <c r="F14" s="2"/>
      <c r="G14" s="13"/>
      <c r="H14" s="13"/>
      <c r="I14" t="str">
        <f>'XH1'!G11</f>
        <v>-</v>
      </c>
      <c r="J14">
        <f>'KD1'!G11</f>
        <v>0</v>
      </c>
      <c r="K14" t="str">
        <f>'DG1'!G11</f>
        <v>-</v>
      </c>
      <c r="L14" t="str">
        <f>'SG1'!G11</f>
        <v>-</v>
      </c>
      <c r="M14" t="str">
        <f>'CM1'!G11</f>
        <v>-</v>
      </c>
      <c r="N14" t="str">
        <f>'VS1'!G11</f>
        <v>-</v>
      </c>
    </row>
    <row r="15" spans="1:15" x14ac:dyDescent="0.2">
      <c r="A15" s="3" t="s">
        <v>265</v>
      </c>
      <c r="B15" s="3" t="s">
        <v>39</v>
      </c>
      <c r="C15" s="3" t="s">
        <v>40</v>
      </c>
      <c r="D15" s="3" t="s">
        <v>41</v>
      </c>
      <c r="E15" s="3" t="s">
        <v>42</v>
      </c>
      <c r="F15" s="3" t="s">
        <v>43</v>
      </c>
      <c r="G15" s="6">
        <f t="shared" si="0"/>
        <v>4.1428571428571432</v>
      </c>
      <c r="H15" s="13">
        <f t="shared" si="1"/>
        <v>4</v>
      </c>
      <c r="I15">
        <f>'XH1'!G12</f>
        <v>5</v>
      </c>
      <c r="J15">
        <f>'KD1'!G12</f>
        <v>5</v>
      </c>
      <c r="K15">
        <f>'DG1'!G12</f>
        <v>3</v>
      </c>
      <c r="L15">
        <f>'SG1'!G12</f>
        <v>4</v>
      </c>
      <c r="M15">
        <f>'CM1'!G12</f>
        <v>3</v>
      </c>
      <c r="N15">
        <f>'VS1'!G12</f>
        <v>4</v>
      </c>
      <c r="O15">
        <f>'CD1'!G12</f>
        <v>5</v>
      </c>
    </row>
    <row r="16" spans="1:15" x14ac:dyDescent="0.2">
      <c r="A16" s="3" t="s">
        <v>44</v>
      </c>
      <c r="B16" s="3" t="s">
        <v>45</v>
      </c>
      <c r="C16" s="3" t="s">
        <v>46</v>
      </c>
      <c r="D16" s="3" t="s">
        <v>47</v>
      </c>
      <c r="E16" s="3" t="s">
        <v>48</v>
      </c>
      <c r="F16" s="3" t="s">
        <v>49</v>
      </c>
      <c r="G16" s="6">
        <f t="shared" si="0"/>
        <v>4.4285714285714288</v>
      </c>
      <c r="H16" s="13">
        <f t="shared" si="1"/>
        <v>5</v>
      </c>
      <c r="I16">
        <f>'XH1'!G13</f>
        <v>4</v>
      </c>
      <c r="J16">
        <f>'KD1'!G13</f>
        <v>5</v>
      </c>
      <c r="K16">
        <f>'DG1'!G13</f>
        <v>5</v>
      </c>
      <c r="L16">
        <f>'SG1'!G13</f>
        <v>3</v>
      </c>
      <c r="M16">
        <f>'CM1'!G13</f>
        <v>5</v>
      </c>
      <c r="N16">
        <f>'VS1'!G13</f>
        <v>5</v>
      </c>
      <c r="O16">
        <f>'CD1'!G13</f>
        <v>4</v>
      </c>
    </row>
    <row r="17" spans="1:15" x14ac:dyDescent="0.2">
      <c r="A17" s="3" t="s">
        <v>50</v>
      </c>
      <c r="B17" s="3" t="s">
        <v>51</v>
      </c>
      <c r="C17" s="3" t="s">
        <v>52</v>
      </c>
      <c r="D17" s="3" t="s">
        <v>53</v>
      </c>
      <c r="E17" s="3" t="s">
        <v>48</v>
      </c>
      <c r="F17" s="3" t="s">
        <v>54</v>
      </c>
      <c r="G17" s="6">
        <f t="shared" si="0"/>
        <v>4.4285714285714288</v>
      </c>
      <c r="H17" s="13">
        <f t="shared" si="1"/>
        <v>4</v>
      </c>
      <c r="I17">
        <f>'XH1'!G14</f>
        <v>5</v>
      </c>
      <c r="J17">
        <f>'KD1'!G14</f>
        <v>5</v>
      </c>
      <c r="K17">
        <f>'DG1'!G14</f>
        <v>4</v>
      </c>
      <c r="L17">
        <f>'SG1'!G14</f>
        <v>4</v>
      </c>
      <c r="M17">
        <f>'CM1'!G14</f>
        <v>5</v>
      </c>
      <c r="N17">
        <f>'VS1'!G14</f>
        <v>4</v>
      </c>
      <c r="O17">
        <f>'CD1'!G14</f>
        <v>4</v>
      </c>
    </row>
    <row r="18" spans="1:15" x14ac:dyDescent="0.2">
      <c r="A18" s="3" t="s">
        <v>266</v>
      </c>
      <c r="B18" s="3" t="s">
        <v>56</v>
      </c>
      <c r="C18" s="3" t="s">
        <v>57</v>
      </c>
      <c r="D18" s="3" t="s">
        <v>58</v>
      </c>
      <c r="E18" s="3" t="s">
        <v>59</v>
      </c>
      <c r="F18" s="3" t="s">
        <v>60</v>
      </c>
      <c r="G18" s="12">
        <f t="shared" si="0"/>
        <v>3.4285714285714284</v>
      </c>
      <c r="H18" s="13">
        <f t="shared" si="1"/>
        <v>3</v>
      </c>
      <c r="I18">
        <f>'XH1'!G15</f>
        <v>4</v>
      </c>
      <c r="J18">
        <f>'KD1'!G15</f>
        <v>3</v>
      </c>
      <c r="K18">
        <f>'DG1'!G15</f>
        <v>4</v>
      </c>
      <c r="L18">
        <f>'SG1'!G15</f>
        <v>3</v>
      </c>
      <c r="M18">
        <f>'CM1'!G15</f>
        <v>3</v>
      </c>
      <c r="N18">
        <f>'VS1'!G15</f>
        <v>3</v>
      </c>
      <c r="O18">
        <f>'CD1'!G15</f>
        <v>4</v>
      </c>
    </row>
    <row r="19" spans="1:15" x14ac:dyDescent="0.2">
      <c r="A19" s="3" t="s">
        <v>61</v>
      </c>
      <c r="B19" s="3" t="s">
        <v>51</v>
      </c>
      <c r="C19" s="3" t="s">
        <v>62</v>
      </c>
      <c r="D19" s="3" t="s">
        <v>53</v>
      </c>
      <c r="E19" s="3" t="s">
        <v>48</v>
      </c>
      <c r="F19" s="3" t="s">
        <v>54</v>
      </c>
      <c r="G19" s="12">
        <f t="shared" si="0"/>
        <v>2.7142857142857144</v>
      </c>
      <c r="H19" s="13">
        <f t="shared" si="1"/>
        <v>3</v>
      </c>
      <c r="I19">
        <f>'XH1'!G16</f>
        <v>4</v>
      </c>
      <c r="J19">
        <f>'KD1'!G16</f>
        <v>2</v>
      </c>
      <c r="K19">
        <f>'DG1'!G16</f>
        <v>4</v>
      </c>
      <c r="L19">
        <f>'SG1'!G16</f>
        <v>1</v>
      </c>
      <c r="M19">
        <f>'CM1'!G16</f>
        <v>3</v>
      </c>
      <c r="N19">
        <f>'VS1'!G16</f>
        <v>2</v>
      </c>
      <c r="O19">
        <f>'CD1'!G16</f>
        <v>3</v>
      </c>
    </row>
    <row r="20" spans="1:15" s="23" customFormat="1" x14ac:dyDescent="0.2">
      <c r="A20" s="21" t="s">
        <v>254</v>
      </c>
      <c r="B20" s="21" t="s">
        <v>99</v>
      </c>
      <c r="C20" s="21" t="s">
        <v>129</v>
      </c>
      <c r="D20" s="21" t="s">
        <v>101</v>
      </c>
      <c r="E20" s="21" t="s">
        <v>25</v>
      </c>
      <c r="F20" s="21" t="s">
        <v>102</v>
      </c>
      <c r="G20" s="22">
        <f>AVERAGE(I20:O20)</f>
        <v>3.5714285714285716</v>
      </c>
      <c r="H20" s="22">
        <f>MEDIAN(I20:O20)</f>
        <v>4</v>
      </c>
      <c r="I20" s="23">
        <f>'XH1'!G22</f>
        <v>5</v>
      </c>
      <c r="J20" s="23">
        <f>'KD1'!G22</f>
        <v>2</v>
      </c>
      <c r="K20" s="23">
        <f>'DG1'!G22</f>
        <v>4</v>
      </c>
      <c r="L20" s="23">
        <f>'SG1'!G22</f>
        <v>5</v>
      </c>
      <c r="M20" s="23">
        <f>'CM1'!G22</f>
        <v>1</v>
      </c>
      <c r="N20" s="23">
        <f>'VS1'!G22</f>
        <v>4</v>
      </c>
      <c r="O20" s="23">
        <f>'CD1'!G22</f>
        <v>4</v>
      </c>
    </row>
    <row r="21" spans="1:15" s="23" customFormat="1" x14ac:dyDescent="0.2">
      <c r="A21" s="21" t="s">
        <v>130</v>
      </c>
      <c r="B21" s="21" t="s">
        <v>99</v>
      </c>
      <c r="C21" s="21" t="s">
        <v>131</v>
      </c>
      <c r="D21" s="21" t="s">
        <v>101</v>
      </c>
      <c r="E21" s="21" t="s">
        <v>25</v>
      </c>
      <c r="F21" s="21" t="s">
        <v>102</v>
      </c>
      <c r="G21" s="22">
        <f>AVERAGE(I21:O21)</f>
        <v>3.3333333333333335</v>
      </c>
      <c r="H21" s="22">
        <f>MEDIAN(I21:O21)</f>
        <v>3.5</v>
      </c>
      <c r="I21" s="23">
        <f>'XH1'!G23</f>
        <v>4</v>
      </c>
      <c r="J21" s="23">
        <f>'KD1'!G23</f>
        <v>3</v>
      </c>
      <c r="K21" s="23">
        <f>'DG1'!G23</f>
        <v>3</v>
      </c>
      <c r="L21" s="23" t="str">
        <f>'SG1'!G23</f>
        <v>x</v>
      </c>
      <c r="M21" s="23">
        <f>'CM1'!G23</f>
        <v>1</v>
      </c>
      <c r="N21" s="23">
        <f>'VS1'!G23</f>
        <v>5</v>
      </c>
      <c r="O21" s="23">
        <f>'CD1'!G23</f>
        <v>4</v>
      </c>
    </row>
    <row r="22" spans="1:15" x14ac:dyDescent="0.2">
      <c r="A22" s="3" t="s">
        <v>267</v>
      </c>
      <c r="B22" s="3" t="s">
        <v>28</v>
      </c>
      <c r="C22" s="3" t="s">
        <v>29</v>
      </c>
      <c r="D22" s="3" t="s">
        <v>30</v>
      </c>
      <c r="E22" s="3" t="s">
        <v>31</v>
      </c>
      <c r="F22" s="3" t="s">
        <v>32</v>
      </c>
      <c r="G22" s="6">
        <f>AVERAGE(I22:O22)</f>
        <v>4.4285714285714288</v>
      </c>
      <c r="H22" s="13">
        <f>MEDIAN(I22:O22)</f>
        <v>5</v>
      </c>
      <c r="I22">
        <f>'XH1'!G8</f>
        <v>5</v>
      </c>
      <c r="J22">
        <f>'KD1'!G8</f>
        <v>5</v>
      </c>
      <c r="K22">
        <f>'DG1'!G8</f>
        <v>3</v>
      </c>
      <c r="L22">
        <f>'SG1'!G8</f>
        <v>5</v>
      </c>
      <c r="M22">
        <f>'CM1'!G8</f>
        <v>5</v>
      </c>
      <c r="N22">
        <f>'VS1'!G8</f>
        <v>4</v>
      </c>
      <c r="O22">
        <f>'CD1'!G8</f>
        <v>4</v>
      </c>
    </row>
    <row r="23" spans="1:15" x14ac:dyDescent="0.2">
      <c r="A23" s="3" t="s">
        <v>255</v>
      </c>
      <c r="B23" s="3" t="s">
        <v>51</v>
      </c>
      <c r="C23" s="3" t="s">
        <v>272</v>
      </c>
      <c r="D23" s="3" t="s">
        <v>53</v>
      </c>
      <c r="E23" s="3" t="s">
        <v>48</v>
      </c>
      <c r="F23" s="3" t="s">
        <v>54</v>
      </c>
      <c r="G23" s="12"/>
      <c r="H23" s="13"/>
    </row>
    <row r="24" spans="1:15" x14ac:dyDescent="0.2">
      <c r="A24" s="3" t="s">
        <v>276</v>
      </c>
      <c r="B24" s="3" t="s">
        <v>269</v>
      </c>
      <c r="C24" s="3" t="s">
        <v>289</v>
      </c>
      <c r="D24" s="3" t="s">
        <v>270</v>
      </c>
      <c r="E24" s="3" t="s">
        <v>31</v>
      </c>
      <c r="F24" s="3" t="s">
        <v>271</v>
      </c>
      <c r="G24" s="12"/>
      <c r="H24" s="13"/>
    </row>
    <row r="25" spans="1:15" x14ac:dyDescent="0.2">
      <c r="A25" s="3" t="s">
        <v>279</v>
      </c>
      <c r="B25" s="3" t="s">
        <v>51</v>
      </c>
      <c r="C25" s="3" t="s">
        <v>290</v>
      </c>
      <c r="D25" s="3" t="s">
        <v>53</v>
      </c>
      <c r="E25" s="3" t="s">
        <v>48</v>
      </c>
      <c r="F25" s="3" t="s">
        <v>54</v>
      </c>
      <c r="G25" s="12"/>
      <c r="H25" s="13"/>
    </row>
    <row r="26" spans="1:15" x14ac:dyDescent="0.2">
      <c r="A26" s="3" t="s">
        <v>277</v>
      </c>
      <c r="B26" s="3" t="s">
        <v>51</v>
      </c>
      <c r="C26" s="3" t="s">
        <v>292</v>
      </c>
      <c r="D26" s="3" t="s">
        <v>53</v>
      </c>
      <c r="E26" s="3" t="s">
        <v>48</v>
      </c>
      <c r="F26" s="3" t="s">
        <v>54</v>
      </c>
      <c r="G26" s="12"/>
      <c r="H26" s="13"/>
    </row>
    <row r="27" spans="1:15" x14ac:dyDescent="0.2">
      <c r="A27" s="3" t="s">
        <v>278</v>
      </c>
      <c r="B27" s="3" t="s">
        <v>51</v>
      </c>
      <c r="C27" s="3" t="s">
        <v>291</v>
      </c>
      <c r="D27" s="3" t="s">
        <v>53</v>
      </c>
      <c r="E27" s="3" t="s">
        <v>48</v>
      </c>
      <c r="F27" s="3" t="s">
        <v>54</v>
      </c>
      <c r="G27" s="12"/>
      <c r="H27" s="13"/>
    </row>
    <row r="28" spans="1:15" x14ac:dyDescent="0.2">
      <c r="A28" s="3" t="s">
        <v>268</v>
      </c>
      <c r="B28" s="3"/>
      <c r="C28" s="3"/>
      <c r="D28" s="3"/>
      <c r="E28" s="3"/>
      <c r="F28" s="3"/>
      <c r="G28" s="12"/>
      <c r="H28" s="13"/>
    </row>
    <row r="29" spans="1:15" x14ac:dyDescent="0.2">
      <c r="A29" s="3"/>
      <c r="B29" s="3"/>
      <c r="C29" s="3"/>
      <c r="D29" s="3"/>
      <c r="E29" s="3"/>
      <c r="F29" s="3"/>
      <c r="G29" s="12"/>
      <c r="H29" s="13"/>
    </row>
    <row r="30" spans="1:15" x14ac:dyDescent="0.2">
      <c r="A30" s="3" t="s">
        <v>319</v>
      </c>
      <c r="B30" s="3"/>
      <c r="C30" s="3"/>
      <c r="D30" s="3"/>
      <c r="E30" s="3"/>
      <c r="F30" s="3"/>
      <c r="G30" s="12"/>
      <c r="H30" s="13"/>
    </row>
    <row r="31" spans="1:15" x14ac:dyDescent="0.2">
      <c r="A31" s="19" t="s">
        <v>139</v>
      </c>
      <c r="B31" s="2"/>
      <c r="C31" s="3" t="s">
        <v>116</v>
      </c>
      <c r="D31" s="3" t="s">
        <v>9</v>
      </c>
      <c r="E31" s="3" t="s">
        <v>9</v>
      </c>
      <c r="F31" s="2"/>
      <c r="G31" s="13"/>
      <c r="H31" s="13"/>
      <c r="I31" t="str">
        <f>'XH1'!G18</f>
        <v>-</v>
      </c>
      <c r="J31">
        <f>'KD1'!G18</f>
        <v>0</v>
      </c>
      <c r="K31" t="str">
        <f>'DG1'!G18</f>
        <v>-</v>
      </c>
      <c r="L31" t="str">
        <f>'SG1'!G18</f>
        <v>-</v>
      </c>
      <c r="M31" t="str">
        <f>'CM1'!G18</f>
        <v>-</v>
      </c>
      <c r="N31" t="str">
        <f>'VS1'!G18</f>
        <v>-</v>
      </c>
    </row>
    <row r="32" spans="1:15" x14ac:dyDescent="0.2">
      <c r="A32" s="3" t="s">
        <v>318</v>
      </c>
      <c r="B32" s="3" t="s">
        <v>118</v>
      </c>
      <c r="C32" s="3" t="s">
        <v>119</v>
      </c>
      <c r="D32" s="3" t="s">
        <v>120</v>
      </c>
      <c r="E32" s="3" t="s">
        <v>76</v>
      </c>
      <c r="F32" s="3" t="s">
        <v>121</v>
      </c>
      <c r="G32" s="12">
        <f t="shared" si="0"/>
        <v>3.4285714285714284</v>
      </c>
      <c r="H32" s="13">
        <f t="shared" si="1"/>
        <v>3</v>
      </c>
      <c r="I32">
        <f>'XH1'!G19</f>
        <v>5</v>
      </c>
      <c r="J32">
        <f>'KD1'!G19</f>
        <v>5</v>
      </c>
      <c r="K32">
        <f>'DG1'!G19</f>
        <v>3</v>
      </c>
      <c r="L32">
        <f>'SG1'!G19</f>
        <v>4</v>
      </c>
      <c r="M32">
        <f>'CM1'!G19</f>
        <v>2</v>
      </c>
      <c r="N32">
        <f>'VS1'!G19</f>
        <v>3</v>
      </c>
      <c r="O32">
        <f>'CD1'!G19</f>
        <v>2</v>
      </c>
    </row>
    <row r="33" spans="1:25" x14ac:dyDescent="0.2">
      <c r="A33" s="3" t="s">
        <v>122</v>
      </c>
      <c r="B33" s="3" t="s">
        <v>99</v>
      </c>
      <c r="C33" s="3" t="s">
        <v>123</v>
      </c>
      <c r="D33" s="3" t="s">
        <v>101</v>
      </c>
      <c r="E33" s="3" t="s">
        <v>25</v>
      </c>
      <c r="F33" s="4" t="s">
        <v>307</v>
      </c>
      <c r="G33" s="12">
        <f t="shared" si="0"/>
        <v>3</v>
      </c>
      <c r="H33" s="13">
        <f t="shared" si="1"/>
        <v>3</v>
      </c>
      <c r="I33">
        <f>'XH1'!G20</f>
        <v>4</v>
      </c>
      <c r="J33">
        <f>'KD1'!G20</f>
        <v>5</v>
      </c>
      <c r="K33">
        <f>'DG1'!G20</f>
        <v>2</v>
      </c>
      <c r="L33">
        <f>'SG1'!G20</f>
        <v>4</v>
      </c>
      <c r="M33">
        <f>'CM1'!G20</f>
        <v>1</v>
      </c>
      <c r="N33">
        <f>'VS1'!G20</f>
        <v>2</v>
      </c>
      <c r="O33">
        <f>'CD1'!G20</f>
        <v>3</v>
      </c>
    </row>
    <row r="34" spans="1:25" x14ac:dyDescent="0.2">
      <c r="A34" s="3" t="s">
        <v>124</v>
      </c>
      <c r="B34" s="3" t="s">
        <v>125</v>
      </c>
      <c r="C34" s="3" t="s">
        <v>126</v>
      </c>
      <c r="D34" s="3" t="s">
        <v>127</v>
      </c>
      <c r="E34" s="3" t="s">
        <v>76</v>
      </c>
      <c r="F34" s="3" t="s">
        <v>121</v>
      </c>
      <c r="G34" s="12">
        <f t="shared" si="0"/>
        <v>3.1428571428571428</v>
      </c>
      <c r="H34" s="13">
        <f t="shared" si="1"/>
        <v>3</v>
      </c>
      <c r="I34">
        <f>'XH1'!G21</f>
        <v>5</v>
      </c>
      <c r="J34">
        <f>'KD1'!G21</f>
        <v>2</v>
      </c>
      <c r="K34">
        <f>'DG1'!G21</f>
        <v>4</v>
      </c>
      <c r="L34">
        <f>'SG1'!G21</f>
        <v>4</v>
      </c>
      <c r="M34">
        <f>'CM1'!G21</f>
        <v>1</v>
      </c>
      <c r="N34">
        <f>'VS1'!G21</f>
        <v>3</v>
      </c>
      <c r="O34">
        <f>'CD1'!G21</f>
        <v>3</v>
      </c>
    </row>
    <row r="35" spans="1:25" x14ac:dyDescent="0.2">
      <c r="A35" s="3" t="s">
        <v>132</v>
      </c>
      <c r="B35" s="3" t="s">
        <v>133</v>
      </c>
      <c r="C35" s="3" t="s">
        <v>134</v>
      </c>
      <c r="D35" s="3">
        <v>2020</v>
      </c>
      <c r="E35" s="3" t="s">
        <v>76</v>
      </c>
      <c r="F35" s="4" t="s">
        <v>135</v>
      </c>
      <c r="G35" s="12">
        <f>AVERAGE(I35:O35)</f>
        <v>3.0714285714285716</v>
      </c>
      <c r="H35" s="13">
        <f>MEDIAN(I35:O35)</f>
        <v>3</v>
      </c>
      <c r="I35">
        <v>2.5</v>
      </c>
      <c r="J35">
        <f>'KD1'!G24</f>
        <v>5</v>
      </c>
      <c r="K35">
        <f>'DG1'!G24</f>
        <v>4</v>
      </c>
      <c r="L35">
        <f>'SG1'!G24</f>
        <v>3</v>
      </c>
      <c r="M35">
        <f>'CM1'!G24</f>
        <v>1</v>
      </c>
      <c r="N35">
        <f>'VS1'!G24</f>
        <v>2</v>
      </c>
      <c r="O35">
        <f>'CD1'!G24</f>
        <v>4</v>
      </c>
    </row>
    <row r="36" spans="1:25" x14ac:dyDescent="0.2">
      <c r="A36" s="3" t="s">
        <v>275</v>
      </c>
      <c r="B36" s="3" t="s">
        <v>296</v>
      </c>
      <c r="C36" s="3" t="s">
        <v>294</v>
      </c>
      <c r="D36" s="3" t="s">
        <v>293</v>
      </c>
      <c r="E36" s="3" t="s">
        <v>76</v>
      </c>
      <c r="F36" t="s">
        <v>295</v>
      </c>
    </row>
    <row r="37" spans="1:25" x14ac:dyDescent="0.2">
      <c r="A37" s="3" t="s">
        <v>257</v>
      </c>
      <c r="B37" s="3" t="s">
        <v>297</v>
      </c>
      <c r="C37" s="3" t="s">
        <v>282</v>
      </c>
      <c r="D37" s="3" t="s">
        <v>299</v>
      </c>
      <c r="E37" s="3" t="s">
        <v>300</v>
      </c>
      <c r="F37" s="4" t="s">
        <v>298</v>
      </c>
      <c r="G37" s="13"/>
      <c r="H37" s="13"/>
    </row>
    <row r="38" spans="1:25" x14ac:dyDescent="0.2">
      <c r="A38" s="3" t="s">
        <v>304</v>
      </c>
      <c r="B38" s="2" t="s">
        <v>305</v>
      </c>
      <c r="C38" s="3" t="s">
        <v>284</v>
      </c>
      <c r="D38" s="3" t="s">
        <v>306</v>
      </c>
      <c r="E38" s="3" t="s">
        <v>76</v>
      </c>
      <c r="F38" s="16" t="s">
        <v>308</v>
      </c>
      <c r="G38" s="13"/>
      <c r="H38" s="13"/>
    </row>
    <row r="39" spans="1:25" x14ac:dyDescent="0.2">
      <c r="A39" s="3" t="s">
        <v>280</v>
      </c>
      <c r="B39" s="2" t="s">
        <v>273</v>
      </c>
      <c r="C39" s="2" t="s">
        <v>283</v>
      </c>
      <c r="D39" s="2" t="s">
        <v>241</v>
      </c>
      <c r="E39" s="3" t="s">
        <v>16</v>
      </c>
      <c r="F39" s="4" t="s">
        <v>274</v>
      </c>
      <c r="G39" s="13"/>
      <c r="H39" s="13"/>
    </row>
    <row r="40" spans="1:25" x14ac:dyDescent="0.2">
      <c r="A40" s="3" t="s">
        <v>321</v>
      </c>
      <c r="B40" s="2"/>
      <c r="C40" s="2"/>
      <c r="D40" s="2"/>
      <c r="E40" s="3"/>
      <c r="F40" s="4"/>
      <c r="G40" s="13"/>
      <c r="H40" s="13"/>
    </row>
    <row r="41" spans="1:25" x14ac:dyDescent="0.2">
      <c r="A41" s="3"/>
      <c r="B41" s="2"/>
      <c r="C41" s="2"/>
      <c r="D41" s="2"/>
      <c r="E41" s="3"/>
      <c r="F41" s="4"/>
      <c r="G41" s="13"/>
      <c r="H41" s="13"/>
    </row>
    <row r="42" spans="1:25" x14ac:dyDescent="0.2">
      <c r="A42" s="1" t="s">
        <v>63</v>
      </c>
      <c r="B42" s="2"/>
      <c r="C42" s="3" t="s">
        <v>64</v>
      </c>
      <c r="D42" s="3" t="s">
        <v>9</v>
      </c>
      <c r="E42" s="3" t="s">
        <v>9</v>
      </c>
      <c r="F42" s="2"/>
      <c r="G42" s="13"/>
      <c r="H42" s="13"/>
      <c r="I42" t="str">
        <f>'XH1'!G27</f>
        <v>-</v>
      </c>
      <c r="J42">
        <f>'KD1'!G27</f>
        <v>0</v>
      </c>
      <c r="K42" t="str">
        <f>'DG1'!G27</f>
        <v>-</v>
      </c>
      <c r="L42" t="str">
        <f>'SG1'!G27</f>
        <v>-</v>
      </c>
      <c r="M42" t="str">
        <f>'CM1'!G27</f>
        <v>-</v>
      </c>
      <c r="N42" t="str">
        <f>'VS1'!G27</f>
        <v>-</v>
      </c>
    </row>
    <row r="43" spans="1:25" x14ac:dyDescent="0.2">
      <c r="A43" s="19" t="s">
        <v>103</v>
      </c>
      <c r="B43" s="2"/>
      <c r="C43" s="3" t="s">
        <v>104</v>
      </c>
      <c r="D43" s="3" t="s">
        <v>9</v>
      </c>
      <c r="E43" s="3" t="s">
        <v>9</v>
      </c>
      <c r="F43" s="2"/>
      <c r="G43" s="13"/>
      <c r="H43" s="13"/>
      <c r="I43" t="str">
        <f>'XH1'!G37</f>
        <v>-</v>
      </c>
      <c r="J43">
        <f>'KD1'!G37</f>
        <v>0</v>
      </c>
      <c r="K43" t="str">
        <f>'DG1'!G37</f>
        <v>-</v>
      </c>
      <c r="L43" t="str">
        <f>'SG1'!G37</f>
        <v>-</v>
      </c>
      <c r="M43" t="str">
        <f>'CM1'!G37</f>
        <v>-</v>
      </c>
      <c r="N43" t="str">
        <f>'VS1'!G37</f>
        <v>-</v>
      </c>
    </row>
    <row r="44" spans="1:25" x14ac:dyDescent="0.2">
      <c r="A44" s="3" t="s">
        <v>105</v>
      </c>
      <c r="B44" s="3" t="s">
        <v>106</v>
      </c>
      <c r="C44" s="3" t="s">
        <v>107</v>
      </c>
      <c r="D44" s="3" t="s">
        <v>108</v>
      </c>
      <c r="E44" s="18" t="s">
        <v>316</v>
      </c>
      <c r="F44" s="2"/>
      <c r="G44" s="12">
        <f>AVERAGE(I44:O44)</f>
        <v>2.6666666666666665</v>
      </c>
      <c r="H44" s="13">
        <f>MEDIAN(I44:O44)</f>
        <v>3</v>
      </c>
      <c r="I44">
        <f>'XH1'!G38</f>
        <v>3</v>
      </c>
      <c r="J44">
        <f>'KD1'!G38</f>
        <v>3</v>
      </c>
      <c r="K44">
        <f>'DG1'!G38</f>
        <v>4</v>
      </c>
      <c r="L44">
        <f>'SG1'!G38</f>
        <v>3</v>
      </c>
      <c r="M44">
        <f>'CM1'!G38</f>
        <v>1</v>
      </c>
      <c r="N44">
        <f>'VS1'!G38</f>
        <v>2</v>
      </c>
      <c r="O44" t="s">
        <v>18</v>
      </c>
    </row>
    <row r="45" spans="1:25" x14ac:dyDescent="0.2">
      <c r="A45" s="3" t="s">
        <v>110</v>
      </c>
      <c r="B45" s="3" t="s">
        <v>106</v>
      </c>
      <c r="C45" s="3" t="s">
        <v>111</v>
      </c>
      <c r="D45" s="3" t="s">
        <v>108</v>
      </c>
      <c r="E45" s="3" t="s">
        <v>112</v>
      </c>
      <c r="F45" s="2"/>
      <c r="G45" s="12">
        <f>AVERAGE(I45:O45)</f>
        <v>2.6666666666666665</v>
      </c>
      <c r="H45" s="13">
        <f>MEDIAN(I45:O45)</f>
        <v>2.5</v>
      </c>
      <c r="I45">
        <f>'XH1'!G39</f>
        <v>3</v>
      </c>
      <c r="J45">
        <f>'KD1'!G39</f>
        <v>5</v>
      </c>
      <c r="K45">
        <f>'DG1'!G39</f>
        <v>3</v>
      </c>
      <c r="L45">
        <f>'SG1'!G39</f>
        <v>2</v>
      </c>
      <c r="M45">
        <f>'CM1'!G39</f>
        <v>1</v>
      </c>
      <c r="N45">
        <f>'VS1'!G39</f>
        <v>2</v>
      </c>
      <c r="O45" t="s">
        <v>18</v>
      </c>
    </row>
    <row r="46" spans="1:25" x14ac:dyDescent="0.2">
      <c r="A46" s="3" t="s">
        <v>113</v>
      </c>
      <c r="B46" s="3" t="s">
        <v>106</v>
      </c>
      <c r="C46" s="3" t="s">
        <v>114</v>
      </c>
      <c r="D46" s="3" t="s">
        <v>108</v>
      </c>
      <c r="E46" s="3" t="s">
        <v>115</v>
      </c>
      <c r="F46" s="2"/>
      <c r="G46" s="12">
        <f>AVERAGE(I46:O46)</f>
        <v>2.5</v>
      </c>
      <c r="H46" s="13">
        <f>MEDIAN(I46:O46)</f>
        <v>3</v>
      </c>
      <c r="I46">
        <f>'XH1'!G40</f>
        <v>3</v>
      </c>
      <c r="J46">
        <f>'KD1'!G40</f>
        <v>3</v>
      </c>
      <c r="K46">
        <f>'DG1'!G40</f>
        <v>4</v>
      </c>
      <c r="L46">
        <f>'SG1'!G40</f>
        <v>1</v>
      </c>
      <c r="M46">
        <f>'CM1'!G40</f>
        <v>1</v>
      </c>
      <c r="N46">
        <f>'VS1'!G40</f>
        <v>3</v>
      </c>
      <c r="O46" t="s">
        <v>18</v>
      </c>
    </row>
    <row r="47" spans="1:25" x14ac:dyDescent="0.2">
      <c r="A47" s="3" t="s">
        <v>259</v>
      </c>
      <c r="B47" s="3" t="s">
        <v>245</v>
      </c>
      <c r="C47" s="3" t="s">
        <v>287</v>
      </c>
      <c r="D47" s="3" t="s">
        <v>246</v>
      </c>
      <c r="E47" s="3" t="s">
        <v>316</v>
      </c>
      <c r="F47" s="2" t="s">
        <v>317</v>
      </c>
    </row>
    <row r="48" spans="1:25" x14ac:dyDescent="0.2">
      <c r="A48" s="3" t="s">
        <v>309</v>
      </c>
      <c r="B48" s="17" t="s">
        <v>310</v>
      </c>
      <c r="C48" s="17" t="s">
        <v>311</v>
      </c>
      <c r="D48" s="17" t="s">
        <v>312</v>
      </c>
      <c r="E48" s="17" t="s">
        <v>76</v>
      </c>
      <c r="F48" s="4" t="s">
        <v>315</v>
      </c>
      <c r="G48" s="2"/>
      <c r="H48" s="2"/>
      <c r="I48" s="2"/>
      <c r="J48" s="2"/>
      <c r="K48" s="2"/>
      <c r="L48" s="2"/>
      <c r="M48" s="2"/>
      <c r="N48" s="2"/>
      <c r="O48" s="2"/>
      <c r="P48" s="2"/>
      <c r="Q48" s="2"/>
      <c r="R48" s="2"/>
      <c r="S48" s="2"/>
      <c r="T48" s="2"/>
      <c r="U48" s="2"/>
      <c r="V48" s="2"/>
      <c r="W48" s="2"/>
      <c r="X48" s="2"/>
      <c r="Y48" s="2"/>
    </row>
    <row r="49" spans="1:15" x14ac:dyDescent="0.2">
      <c r="A49" s="2"/>
      <c r="B49" s="2"/>
      <c r="C49" s="2"/>
      <c r="D49" s="2"/>
      <c r="E49" s="2"/>
      <c r="F49" s="2"/>
      <c r="G49" s="13"/>
      <c r="H49" s="13"/>
      <c r="I49" t="str">
        <f>'XH1'!G26</f>
        <v>-</v>
      </c>
      <c r="J49">
        <f>'KD1'!G26</f>
        <v>0</v>
      </c>
      <c r="K49" t="str">
        <f>'DG1'!G26</f>
        <v>-</v>
      </c>
      <c r="L49" t="str">
        <f>'SG1'!G26</f>
        <v>-</v>
      </c>
      <c r="M49" t="str">
        <f>'CM1'!G26</f>
        <v>-</v>
      </c>
      <c r="N49" t="str">
        <f>'VS1'!G26</f>
        <v>-</v>
      </c>
    </row>
    <row r="50" spans="1:15" x14ac:dyDescent="0.2">
      <c r="A50" s="19" t="s">
        <v>65</v>
      </c>
      <c r="B50" s="2"/>
      <c r="C50" s="3" t="s">
        <v>66</v>
      </c>
      <c r="D50" s="3" t="s">
        <v>9</v>
      </c>
      <c r="E50" s="3" t="s">
        <v>9</v>
      </c>
      <c r="F50" s="2"/>
      <c r="G50" s="13"/>
      <c r="H50" s="13"/>
      <c r="I50" t="str">
        <f>'XH1'!G28</f>
        <v>-</v>
      </c>
      <c r="J50">
        <f>'KD1'!G28</f>
        <v>0</v>
      </c>
      <c r="K50" t="str">
        <f>'DG1'!G28</f>
        <v>-</v>
      </c>
      <c r="L50" t="str">
        <f>'SG1'!G28</f>
        <v>-</v>
      </c>
      <c r="M50" t="str">
        <f>'CM1'!G28</f>
        <v>-</v>
      </c>
      <c r="N50" t="str">
        <f>'VS1'!G28</f>
        <v>-</v>
      </c>
    </row>
    <row r="51" spans="1:15" x14ac:dyDescent="0.2">
      <c r="A51" s="3" t="s">
        <v>67</v>
      </c>
      <c r="B51" s="3" t="s">
        <v>68</v>
      </c>
      <c r="C51" s="3" t="s">
        <v>69</v>
      </c>
      <c r="D51" s="3">
        <v>2017</v>
      </c>
      <c r="E51" s="3" t="s">
        <v>70</v>
      </c>
      <c r="F51" s="3" t="s">
        <v>71</v>
      </c>
      <c r="G51" s="12">
        <f t="shared" ref="G51:G57" si="2">AVERAGE(I51:O51)</f>
        <v>3</v>
      </c>
      <c r="H51" s="13">
        <f t="shared" ref="H51:H57" si="3">MEDIAN(I51:O51)</f>
        <v>4</v>
      </c>
      <c r="I51">
        <f>'XH1'!G29</f>
        <v>4</v>
      </c>
      <c r="J51">
        <f>'KD1'!G29</f>
        <v>4</v>
      </c>
      <c r="K51">
        <f>'DG1'!G29</f>
        <v>3</v>
      </c>
      <c r="L51">
        <f>'SG1'!G29</f>
        <v>4</v>
      </c>
      <c r="M51">
        <f>'CM1'!G29</f>
        <v>1</v>
      </c>
      <c r="N51">
        <f>'VS1'!G29</f>
        <v>5</v>
      </c>
      <c r="O51">
        <f>'CD1'!G29</f>
        <v>0</v>
      </c>
    </row>
    <row r="52" spans="1:15" x14ac:dyDescent="0.2">
      <c r="A52" s="3" t="s">
        <v>72</v>
      </c>
      <c r="B52" s="3" t="s">
        <v>73</v>
      </c>
      <c r="C52" s="3" t="s">
        <v>74</v>
      </c>
      <c r="D52" s="3" t="s">
        <v>75</v>
      </c>
      <c r="E52" s="3" t="s">
        <v>76</v>
      </c>
      <c r="F52" s="3" t="s">
        <v>77</v>
      </c>
      <c r="G52" s="7">
        <f t="shared" si="2"/>
        <v>3.8571428571428572</v>
      </c>
      <c r="H52" s="13">
        <f t="shared" si="3"/>
        <v>4</v>
      </c>
      <c r="I52">
        <f>'XH1'!G30</f>
        <v>3</v>
      </c>
      <c r="J52">
        <f>'KD1'!G30</f>
        <v>4</v>
      </c>
      <c r="K52">
        <f>'DG1'!G30</f>
        <v>4</v>
      </c>
      <c r="L52">
        <f>'SG1'!G30</f>
        <v>5</v>
      </c>
      <c r="M52">
        <f>'CM1'!G30</f>
        <v>4</v>
      </c>
      <c r="N52">
        <f>'VS1'!G30</f>
        <v>4</v>
      </c>
      <c r="O52">
        <f>'CD1'!G30</f>
        <v>3</v>
      </c>
    </row>
    <row r="53" spans="1:15" x14ac:dyDescent="0.2">
      <c r="A53" s="3" t="s">
        <v>78</v>
      </c>
      <c r="B53" s="3" t="s">
        <v>79</v>
      </c>
      <c r="C53" s="3" t="s">
        <v>80</v>
      </c>
      <c r="D53" s="3" t="s">
        <v>81</v>
      </c>
      <c r="E53" s="3" t="s">
        <v>76</v>
      </c>
      <c r="F53" s="3" t="s">
        <v>82</v>
      </c>
      <c r="G53" s="6">
        <f t="shared" si="2"/>
        <v>4.5714285714285712</v>
      </c>
      <c r="H53" s="13">
        <f t="shared" si="3"/>
        <v>5</v>
      </c>
      <c r="I53">
        <f>'XH1'!G31</f>
        <v>5</v>
      </c>
      <c r="J53">
        <f>'KD1'!G31</f>
        <v>5</v>
      </c>
      <c r="K53">
        <f>'DG1'!G31</f>
        <v>4</v>
      </c>
      <c r="L53">
        <f>'SG1'!G31</f>
        <v>5</v>
      </c>
      <c r="M53">
        <f>'CM1'!G31</f>
        <v>5</v>
      </c>
      <c r="N53">
        <f>'VS1'!G31</f>
        <v>4</v>
      </c>
      <c r="O53">
        <f>'CD1'!G31</f>
        <v>4</v>
      </c>
    </row>
    <row r="54" spans="1:15" x14ac:dyDescent="0.2">
      <c r="A54" s="3" t="s">
        <v>83</v>
      </c>
      <c r="B54" s="3" t="s">
        <v>84</v>
      </c>
      <c r="C54" s="3" t="s">
        <v>85</v>
      </c>
      <c r="D54" s="3" t="s">
        <v>86</v>
      </c>
      <c r="E54" s="3" t="s">
        <v>76</v>
      </c>
      <c r="F54" s="3" t="s">
        <v>87</v>
      </c>
      <c r="G54" s="6">
        <f t="shared" si="2"/>
        <v>4.2857142857142856</v>
      </c>
      <c r="H54" s="13">
        <f t="shared" si="3"/>
        <v>4</v>
      </c>
      <c r="I54">
        <f>'XH1'!G32</f>
        <v>5</v>
      </c>
      <c r="J54">
        <f>'KD1'!G32</f>
        <v>5</v>
      </c>
      <c r="K54">
        <f>'DG1'!G32</f>
        <v>4</v>
      </c>
      <c r="L54">
        <f>'SG1'!G32</f>
        <v>5</v>
      </c>
      <c r="M54">
        <f>'CM1'!G32</f>
        <v>3</v>
      </c>
      <c r="N54">
        <f>'VS1'!G32</f>
        <v>4</v>
      </c>
      <c r="O54">
        <f>'CD1'!G32</f>
        <v>4</v>
      </c>
    </row>
    <row r="55" spans="1:15" x14ac:dyDescent="0.2">
      <c r="A55" s="3" t="s">
        <v>88</v>
      </c>
      <c r="B55" s="3" t="s">
        <v>89</v>
      </c>
      <c r="C55" s="3" t="s">
        <v>90</v>
      </c>
      <c r="D55" s="3" t="s">
        <v>81</v>
      </c>
      <c r="E55" s="3" t="s">
        <v>316</v>
      </c>
      <c r="F55" s="3" t="s">
        <v>92</v>
      </c>
      <c r="G55" s="7">
        <f t="shared" si="2"/>
        <v>3.7142857142857144</v>
      </c>
      <c r="H55" s="13">
        <f t="shared" si="3"/>
        <v>4</v>
      </c>
      <c r="I55">
        <f>'XH1'!G33</f>
        <v>4</v>
      </c>
      <c r="J55">
        <f>'KD1'!G33</f>
        <v>5</v>
      </c>
      <c r="K55">
        <f>'DG1'!G33</f>
        <v>2</v>
      </c>
      <c r="L55">
        <f>'SG1'!G33</f>
        <v>5</v>
      </c>
      <c r="M55">
        <f>'CM1'!G33</f>
        <v>4</v>
      </c>
      <c r="N55">
        <f>'VS1'!G33</f>
        <v>3</v>
      </c>
      <c r="O55">
        <f>'CD1'!G33</f>
        <v>3</v>
      </c>
    </row>
    <row r="56" spans="1:15" x14ac:dyDescent="0.2">
      <c r="A56" s="3" t="s">
        <v>93</v>
      </c>
      <c r="B56" s="3" t="s">
        <v>94</v>
      </c>
      <c r="C56" s="3" t="s">
        <v>95</v>
      </c>
      <c r="D56" s="3" t="s">
        <v>96</v>
      </c>
      <c r="E56" s="3" t="s">
        <v>316</v>
      </c>
      <c r="F56" s="3" t="s">
        <v>97</v>
      </c>
      <c r="G56" s="12">
        <f t="shared" si="2"/>
        <v>3.4285714285714284</v>
      </c>
      <c r="H56" s="13">
        <f t="shared" si="3"/>
        <v>3</v>
      </c>
      <c r="I56">
        <f>'XH1'!G34</f>
        <v>4</v>
      </c>
      <c r="J56">
        <f>'KD1'!G34</f>
        <v>5</v>
      </c>
      <c r="K56">
        <f>'DG1'!G34</f>
        <v>3</v>
      </c>
      <c r="L56">
        <f>'SG1'!G34</f>
        <v>4</v>
      </c>
      <c r="M56">
        <f>'CM1'!G34</f>
        <v>2</v>
      </c>
      <c r="N56">
        <f>'VS1'!G34</f>
        <v>3</v>
      </c>
      <c r="O56">
        <f>'CD1'!G34</f>
        <v>3</v>
      </c>
    </row>
    <row r="57" spans="1:15" x14ac:dyDescent="0.2">
      <c r="A57" s="3" t="s">
        <v>98</v>
      </c>
      <c r="B57" s="3" t="s">
        <v>99</v>
      </c>
      <c r="C57" s="3" t="s">
        <v>100</v>
      </c>
      <c r="D57" s="3" t="s">
        <v>101</v>
      </c>
      <c r="E57" s="3" t="s">
        <v>25</v>
      </c>
      <c r="F57" s="3" t="s">
        <v>102</v>
      </c>
      <c r="G57" s="12">
        <f t="shared" si="2"/>
        <v>2.5</v>
      </c>
      <c r="H57" s="13">
        <f t="shared" si="3"/>
        <v>2.5</v>
      </c>
      <c r="I57">
        <f>'XH1'!G35</f>
        <v>4</v>
      </c>
      <c r="J57">
        <f>'KD1'!G35</f>
        <v>3</v>
      </c>
      <c r="K57">
        <f>'DG1'!G35</f>
        <v>2</v>
      </c>
      <c r="L57">
        <f>'SG1'!G35</f>
        <v>3</v>
      </c>
      <c r="M57">
        <f>'CM1'!G35</f>
        <v>1</v>
      </c>
      <c r="N57">
        <f>'VS1'!G35</f>
        <v>2</v>
      </c>
      <c r="O57" t="s">
        <v>18</v>
      </c>
    </row>
    <row r="58" spans="1:15" x14ac:dyDescent="0.2">
      <c r="A58" s="3" t="s">
        <v>260</v>
      </c>
      <c r="B58" s="3" t="s">
        <v>219</v>
      </c>
      <c r="C58" s="3" t="s">
        <v>285</v>
      </c>
      <c r="D58" s="3" t="s">
        <v>301</v>
      </c>
      <c r="E58" s="3" t="s">
        <v>76</v>
      </c>
      <c r="F58" t="s">
        <v>302</v>
      </c>
    </row>
    <row r="59" spans="1:15" x14ac:dyDescent="0.2">
      <c r="A59" s="20" t="s">
        <v>320</v>
      </c>
      <c r="B59" s="3" t="s">
        <v>303</v>
      </c>
      <c r="C59" s="3" t="s">
        <v>286</v>
      </c>
      <c r="D59" s="3" t="s">
        <v>236</v>
      </c>
      <c r="E59" s="3" t="s">
        <v>316</v>
      </c>
      <c r="F59" s="3" t="s">
        <v>251</v>
      </c>
      <c r="G59" s="12"/>
      <c r="H59" s="13"/>
    </row>
    <row r="60" spans="1:15" x14ac:dyDescent="0.2">
      <c r="A60" s="20" t="s">
        <v>256</v>
      </c>
      <c r="B60" s="3" t="s">
        <v>303</v>
      </c>
      <c r="C60" s="3" t="s">
        <v>288</v>
      </c>
      <c r="D60" s="3" t="s">
        <v>236</v>
      </c>
      <c r="E60" s="3" t="s">
        <v>316</v>
      </c>
      <c r="F60" t="s">
        <v>251</v>
      </c>
    </row>
    <row r="61" spans="1:15" x14ac:dyDescent="0.2">
      <c r="A61" s="1"/>
      <c r="B61" s="2"/>
      <c r="C61" s="2"/>
      <c r="D61" s="2"/>
      <c r="E61" s="2"/>
      <c r="F61" s="2"/>
      <c r="G61" s="13"/>
      <c r="H61" s="13"/>
      <c r="I61" t="str">
        <f>'XH1'!G36</f>
        <v>x</v>
      </c>
      <c r="J61" t="str">
        <f>'KD1'!G36</f>
        <v>Blue and green crop water requirements</v>
      </c>
      <c r="K61" t="str">
        <f>'DG1'!G36</f>
        <v>x</v>
      </c>
      <c r="L61" t="str">
        <f>'SG1'!G36</f>
        <v>x</v>
      </c>
      <c r="M61" t="str">
        <f>'CM1'!G36</f>
        <v>x</v>
      </c>
      <c r="N61" t="str">
        <f>'VS1'!G36</f>
        <v>x</v>
      </c>
    </row>
  </sheetData>
  <conditionalFormatting sqref="G5:H10 G13:H57 G59:H61">
    <cfRule type="cellIs" dxfId="3" priority="1" stopIfTrue="1" operator="equal">
      <formula>0</formula>
    </cfRule>
    <cfRule type="expression" dxfId="2" priority="2">
      <formula>AND(G5&gt;=4, G5&lt;=5)</formula>
    </cfRule>
    <cfRule type="expression" dxfId="1" priority="3">
      <formula>AND(G5&gt;=3,G5&lt;4)</formula>
    </cfRule>
    <cfRule type="expression" dxfId="0" priority="4">
      <formula>G5&lt;3</formula>
    </cfRule>
  </conditionalFormatting>
  <hyperlinks>
    <hyperlink ref="F35" r:id="rId1" xr:uid="{7AAADBC9-DF77-DD40-A460-A2F2EC00E320}"/>
    <hyperlink ref="F39" r:id="rId2" xr:uid="{C3A18ECA-3152-4048-BDCA-B6076E9C3ED2}"/>
    <hyperlink ref="F37" r:id="rId3" xr:uid="{72B27D96-F1D7-D543-944A-5F79947C4B59}"/>
    <hyperlink ref="F38" r:id="rId4" display="https://doi.org/10.1038/s41597-024-04139-6_x000a_" xr:uid="{938A8AEA-1B09-6B42-8973-794F66F8E279}"/>
    <hyperlink ref="F33" r:id="rId5" xr:uid="{98ED92C6-42A7-D94E-B9DC-8C3C05504B39}"/>
    <hyperlink ref="F48" r:id="rId6" xr:uid="{F1939DB6-DC7F-4C40-BE42-2E3416382A3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ABF5E-4865-E64D-8417-99BB33B3E31F}">
  <dimension ref="A1:Z1000"/>
  <sheetViews>
    <sheetView workbookViewId="0">
      <selection activeCell="H36" sqref="H36"/>
    </sheetView>
  </sheetViews>
  <sheetFormatPr baseColWidth="10" defaultRowHeight="16" x14ac:dyDescent="0.2"/>
  <cols>
    <col min="1" max="1" width="44.6640625" bestFit="1" customWidth="1"/>
    <col min="2" max="7" width="24.1640625" customWidth="1"/>
  </cols>
  <sheetData>
    <row r="1" spans="1:26" x14ac:dyDescent="0.2">
      <c r="A1" s="1" t="s">
        <v>0</v>
      </c>
      <c r="B1" s="1" t="s">
        <v>1</v>
      </c>
      <c r="C1" s="1" t="s">
        <v>2</v>
      </c>
      <c r="D1" s="1" t="s">
        <v>3</v>
      </c>
      <c r="E1" s="1" t="s">
        <v>4</v>
      </c>
      <c r="F1" s="1" t="s">
        <v>5</v>
      </c>
      <c r="G1" s="1" t="s">
        <v>6</v>
      </c>
      <c r="H1" s="2"/>
      <c r="I1" s="1" t="s">
        <v>136</v>
      </c>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3" t="s">
        <v>7</v>
      </c>
      <c r="B3" s="2"/>
      <c r="C3" s="3" t="s">
        <v>8</v>
      </c>
      <c r="D3" s="3" t="s">
        <v>9</v>
      </c>
      <c r="E3" s="3" t="s">
        <v>9</v>
      </c>
      <c r="F3" s="2"/>
      <c r="G3" s="3" t="s">
        <v>9</v>
      </c>
      <c r="H3" s="2"/>
      <c r="I3" s="2"/>
      <c r="J3" s="2"/>
      <c r="K3" s="2"/>
      <c r="L3" s="2"/>
      <c r="M3" s="2"/>
      <c r="N3" s="2"/>
      <c r="O3" s="2"/>
      <c r="P3" s="2"/>
      <c r="Q3" s="2"/>
      <c r="R3" s="2"/>
      <c r="S3" s="2"/>
      <c r="T3" s="2"/>
      <c r="U3" s="2"/>
      <c r="V3" s="2"/>
      <c r="W3" s="2"/>
      <c r="X3" s="2"/>
      <c r="Y3" s="2"/>
      <c r="Z3" s="2"/>
    </row>
    <row r="4" spans="1:26" x14ac:dyDescent="0.2">
      <c r="A4" s="3" t="s">
        <v>10</v>
      </c>
      <c r="B4" s="2"/>
      <c r="C4" s="3" t="s">
        <v>11</v>
      </c>
      <c r="D4" s="3" t="s">
        <v>9</v>
      </c>
      <c r="E4" s="3" t="s">
        <v>9</v>
      </c>
      <c r="F4" s="2"/>
      <c r="G4" s="3" t="s">
        <v>9</v>
      </c>
      <c r="H4" s="2"/>
      <c r="I4" s="2"/>
      <c r="J4" s="2"/>
      <c r="K4" s="2"/>
      <c r="L4" s="2"/>
      <c r="M4" s="2"/>
      <c r="N4" s="2"/>
      <c r="O4" s="2"/>
      <c r="P4" s="2"/>
      <c r="Q4" s="2"/>
      <c r="R4" s="2"/>
      <c r="S4" s="2"/>
      <c r="T4" s="2"/>
      <c r="U4" s="2"/>
      <c r="V4" s="2"/>
      <c r="W4" s="2"/>
      <c r="X4" s="2"/>
      <c r="Y4" s="2"/>
      <c r="Z4" s="2"/>
    </row>
    <row r="5" spans="1:26" x14ac:dyDescent="0.2">
      <c r="A5" s="3" t="s">
        <v>12</v>
      </c>
      <c r="B5" s="3" t="s">
        <v>13</v>
      </c>
      <c r="C5" s="3" t="s">
        <v>14</v>
      </c>
      <c r="D5" s="3" t="s">
        <v>15</v>
      </c>
      <c r="E5" s="3" t="s">
        <v>16</v>
      </c>
      <c r="F5" s="3" t="s">
        <v>17</v>
      </c>
      <c r="G5" s="3">
        <v>4</v>
      </c>
      <c r="H5" s="2"/>
      <c r="I5" s="2"/>
      <c r="J5" s="2"/>
      <c r="K5" s="2"/>
      <c r="L5" s="2"/>
      <c r="M5" s="2"/>
      <c r="N5" s="2"/>
      <c r="O5" s="2"/>
      <c r="P5" s="2"/>
      <c r="Q5" s="2"/>
      <c r="R5" s="2"/>
      <c r="S5" s="2"/>
      <c r="T5" s="2"/>
      <c r="U5" s="2"/>
      <c r="V5" s="2"/>
      <c r="W5" s="2"/>
      <c r="X5" s="2"/>
      <c r="Y5" s="2"/>
      <c r="Z5" s="2"/>
    </row>
    <row r="6" spans="1:26" x14ac:dyDescent="0.2">
      <c r="A6" s="3" t="s">
        <v>19</v>
      </c>
      <c r="B6" s="3" t="s">
        <v>13</v>
      </c>
      <c r="C6" s="3" t="s">
        <v>20</v>
      </c>
      <c r="D6" s="3" t="s">
        <v>15</v>
      </c>
      <c r="E6" s="3" t="s">
        <v>16</v>
      </c>
      <c r="F6" s="3" t="s">
        <v>17</v>
      </c>
      <c r="G6" s="3">
        <v>3</v>
      </c>
      <c r="H6" s="2"/>
      <c r="I6" s="2"/>
      <c r="J6" s="2"/>
      <c r="K6" s="2"/>
      <c r="L6" s="2"/>
      <c r="M6" s="2"/>
      <c r="N6" s="2"/>
      <c r="O6" s="2"/>
      <c r="P6" s="2"/>
      <c r="Q6" s="2"/>
      <c r="R6" s="2"/>
      <c r="S6" s="2"/>
      <c r="T6" s="2"/>
      <c r="U6" s="2"/>
      <c r="V6" s="2"/>
      <c r="W6" s="2"/>
      <c r="X6" s="2"/>
      <c r="Y6" s="2"/>
      <c r="Z6" s="2"/>
    </row>
    <row r="7" spans="1:26" x14ac:dyDescent="0.2">
      <c r="A7" s="3" t="s">
        <v>21</v>
      </c>
      <c r="B7" s="3" t="s">
        <v>22</v>
      </c>
      <c r="C7" s="3" t="s">
        <v>23</v>
      </c>
      <c r="D7" s="3" t="s">
        <v>24</v>
      </c>
      <c r="E7" s="3" t="s">
        <v>25</v>
      </c>
      <c r="F7" s="3" t="s">
        <v>26</v>
      </c>
      <c r="G7" s="3">
        <v>4</v>
      </c>
      <c r="H7" s="2"/>
      <c r="I7" s="2"/>
      <c r="J7" s="2"/>
      <c r="K7" s="2"/>
      <c r="L7" s="2"/>
      <c r="M7" s="2"/>
      <c r="N7" s="2"/>
      <c r="O7" s="2"/>
      <c r="P7" s="2"/>
      <c r="Q7" s="2"/>
      <c r="R7" s="2"/>
      <c r="S7" s="2"/>
      <c r="T7" s="2"/>
      <c r="U7" s="2"/>
      <c r="V7" s="2"/>
      <c r="W7" s="2"/>
      <c r="X7" s="2"/>
      <c r="Y7" s="2"/>
      <c r="Z7" s="2"/>
    </row>
    <row r="8" spans="1:26" x14ac:dyDescent="0.2">
      <c r="A8" s="3" t="s">
        <v>27</v>
      </c>
      <c r="B8" s="3" t="s">
        <v>28</v>
      </c>
      <c r="C8" s="3" t="s">
        <v>29</v>
      </c>
      <c r="D8" s="3" t="s">
        <v>30</v>
      </c>
      <c r="E8" s="3" t="s">
        <v>31</v>
      </c>
      <c r="F8" s="3" t="s">
        <v>32</v>
      </c>
      <c r="G8" s="3">
        <v>5</v>
      </c>
      <c r="H8" s="2"/>
      <c r="I8" s="2"/>
      <c r="J8" s="2"/>
      <c r="K8" s="2"/>
      <c r="L8" s="2"/>
      <c r="M8" s="2"/>
      <c r="N8" s="2"/>
      <c r="O8" s="2"/>
      <c r="P8" s="2"/>
      <c r="Q8" s="2"/>
      <c r="R8" s="2"/>
      <c r="S8" s="2"/>
      <c r="T8" s="2"/>
      <c r="U8" s="2"/>
      <c r="V8" s="2"/>
      <c r="W8" s="2"/>
      <c r="X8" s="2"/>
      <c r="Y8" s="2"/>
      <c r="Z8" s="2"/>
    </row>
    <row r="9" spans="1:26" x14ac:dyDescent="0.2">
      <c r="A9" s="3" t="s">
        <v>33</v>
      </c>
      <c r="B9" s="3" t="s">
        <v>28</v>
      </c>
      <c r="C9" s="3" t="s">
        <v>34</v>
      </c>
      <c r="D9" s="3" t="s">
        <v>30</v>
      </c>
      <c r="E9" s="3" t="s">
        <v>31</v>
      </c>
      <c r="F9" s="3" t="s">
        <v>32</v>
      </c>
      <c r="G9" s="3">
        <v>5</v>
      </c>
      <c r="H9" s="2"/>
      <c r="I9" s="2"/>
      <c r="J9" s="2"/>
      <c r="K9" s="2"/>
      <c r="L9" s="2"/>
      <c r="M9" s="2"/>
      <c r="N9" s="2"/>
      <c r="O9" s="2"/>
      <c r="P9" s="2"/>
      <c r="Q9" s="2"/>
      <c r="R9" s="2"/>
      <c r="S9" s="2"/>
      <c r="T9" s="2"/>
      <c r="U9" s="2"/>
      <c r="V9" s="2"/>
      <c r="W9" s="2"/>
      <c r="X9" s="2"/>
      <c r="Y9" s="2"/>
      <c r="Z9" s="2"/>
    </row>
    <row r="10" spans="1:26" x14ac:dyDescent="0.2">
      <c r="A10" s="1" t="s">
        <v>35</v>
      </c>
      <c r="B10" s="2"/>
      <c r="C10" s="2"/>
      <c r="D10" s="2"/>
      <c r="E10" s="2"/>
      <c r="F10" s="2"/>
      <c r="G10" s="3" t="s">
        <v>18</v>
      </c>
      <c r="H10" s="3" t="s">
        <v>137</v>
      </c>
      <c r="I10" s="2"/>
      <c r="J10" s="2"/>
      <c r="K10" s="2"/>
      <c r="L10" s="2"/>
      <c r="M10" s="2"/>
      <c r="N10" s="2"/>
      <c r="O10" s="2"/>
      <c r="P10" s="2"/>
      <c r="Q10" s="2"/>
      <c r="R10" s="2"/>
      <c r="S10" s="2"/>
      <c r="T10" s="2"/>
      <c r="U10" s="2"/>
      <c r="V10" s="2"/>
      <c r="W10" s="2"/>
      <c r="X10" s="2"/>
      <c r="Y10" s="2"/>
      <c r="Z10" s="2"/>
    </row>
    <row r="11" spans="1:26" x14ac:dyDescent="0.2">
      <c r="A11" s="3" t="s">
        <v>36</v>
      </c>
      <c r="B11" s="2"/>
      <c r="C11" s="3" t="s">
        <v>37</v>
      </c>
      <c r="D11" s="3" t="s">
        <v>9</v>
      </c>
      <c r="E11" s="3" t="s">
        <v>9</v>
      </c>
      <c r="F11" s="2"/>
      <c r="G11" s="3" t="s">
        <v>9</v>
      </c>
      <c r="H11" s="2"/>
      <c r="I11" s="2"/>
      <c r="J11" s="2"/>
      <c r="K11" s="2"/>
      <c r="L11" s="2"/>
      <c r="M11" s="2"/>
      <c r="N11" s="2"/>
      <c r="O11" s="2"/>
      <c r="P11" s="2"/>
      <c r="Q11" s="2"/>
      <c r="R11" s="2"/>
      <c r="S11" s="2"/>
      <c r="T11" s="2"/>
      <c r="U11" s="2"/>
      <c r="V11" s="2"/>
      <c r="W11" s="2"/>
      <c r="X11" s="2"/>
      <c r="Y11" s="2"/>
      <c r="Z11" s="2"/>
    </row>
    <row r="12" spans="1:26" x14ac:dyDescent="0.2">
      <c r="A12" s="3" t="s">
        <v>38</v>
      </c>
      <c r="B12" s="3" t="s">
        <v>39</v>
      </c>
      <c r="C12" s="3" t="s">
        <v>40</v>
      </c>
      <c r="D12" s="3" t="s">
        <v>41</v>
      </c>
      <c r="E12" s="3" t="s">
        <v>42</v>
      </c>
      <c r="F12" s="3" t="s">
        <v>43</v>
      </c>
      <c r="G12" s="3">
        <v>5</v>
      </c>
      <c r="H12" s="2"/>
      <c r="I12" s="2"/>
      <c r="J12" s="2"/>
      <c r="K12" s="2"/>
      <c r="L12" s="2"/>
      <c r="M12" s="2"/>
      <c r="N12" s="2"/>
      <c r="O12" s="2"/>
      <c r="P12" s="2"/>
      <c r="Q12" s="2"/>
      <c r="R12" s="2"/>
      <c r="S12" s="2"/>
      <c r="T12" s="2"/>
      <c r="U12" s="2"/>
      <c r="V12" s="2"/>
      <c r="W12" s="2"/>
      <c r="X12" s="2"/>
      <c r="Y12" s="2"/>
      <c r="Z12" s="2"/>
    </row>
    <row r="13" spans="1:26" x14ac:dyDescent="0.2">
      <c r="A13" s="3" t="s">
        <v>44</v>
      </c>
      <c r="B13" s="3" t="s">
        <v>45</v>
      </c>
      <c r="C13" s="3" t="s">
        <v>46</v>
      </c>
      <c r="D13" s="3" t="s">
        <v>47</v>
      </c>
      <c r="E13" s="3" t="s">
        <v>48</v>
      </c>
      <c r="F13" s="3" t="s">
        <v>49</v>
      </c>
      <c r="G13" s="3">
        <v>4</v>
      </c>
      <c r="H13" s="2"/>
      <c r="I13" s="2"/>
      <c r="J13" s="2"/>
      <c r="K13" s="2"/>
      <c r="L13" s="2"/>
      <c r="M13" s="2"/>
      <c r="N13" s="2"/>
      <c r="O13" s="2"/>
      <c r="P13" s="2"/>
      <c r="Q13" s="2"/>
      <c r="R13" s="2"/>
      <c r="S13" s="2"/>
      <c r="T13" s="2"/>
      <c r="U13" s="2"/>
      <c r="V13" s="2"/>
      <c r="W13" s="2"/>
      <c r="X13" s="2"/>
      <c r="Y13" s="2"/>
      <c r="Z13" s="2"/>
    </row>
    <row r="14" spans="1:26" x14ac:dyDescent="0.2">
      <c r="A14" s="3" t="s">
        <v>50</v>
      </c>
      <c r="B14" s="3" t="s">
        <v>51</v>
      </c>
      <c r="C14" s="3" t="s">
        <v>52</v>
      </c>
      <c r="D14" s="3" t="s">
        <v>53</v>
      </c>
      <c r="E14" s="3" t="s">
        <v>48</v>
      </c>
      <c r="F14" s="3" t="s">
        <v>54</v>
      </c>
      <c r="G14" s="3">
        <v>5</v>
      </c>
      <c r="H14" s="2"/>
      <c r="I14" s="2"/>
      <c r="J14" s="2"/>
      <c r="K14" s="2"/>
      <c r="L14" s="2"/>
      <c r="M14" s="2"/>
      <c r="N14" s="2"/>
      <c r="O14" s="2"/>
      <c r="P14" s="2"/>
      <c r="Q14" s="2"/>
      <c r="R14" s="2"/>
      <c r="S14" s="2"/>
      <c r="T14" s="2"/>
      <c r="U14" s="2"/>
      <c r="V14" s="2"/>
      <c r="W14" s="2"/>
      <c r="X14" s="2"/>
      <c r="Y14" s="2"/>
      <c r="Z14" s="2"/>
    </row>
    <row r="15" spans="1:26" x14ac:dyDescent="0.2">
      <c r="A15" s="3" t="s">
        <v>55</v>
      </c>
      <c r="B15" s="3" t="s">
        <v>56</v>
      </c>
      <c r="C15" s="3" t="s">
        <v>57</v>
      </c>
      <c r="D15" s="3" t="s">
        <v>58</v>
      </c>
      <c r="E15" s="3" t="s">
        <v>59</v>
      </c>
      <c r="F15" s="3" t="s">
        <v>60</v>
      </c>
      <c r="G15" s="3">
        <v>4</v>
      </c>
      <c r="H15" s="2"/>
      <c r="I15" s="2"/>
      <c r="J15" s="2"/>
      <c r="K15" s="2"/>
      <c r="L15" s="2"/>
      <c r="M15" s="2"/>
      <c r="N15" s="2"/>
      <c r="O15" s="2"/>
      <c r="P15" s="2"/>
      <c r="Q15" s="2"/>
      <c r="R15" s="2"/>
      <c r="S15" s="2"/>
      <c r="T15" s="2"/>
      <c r="U15" s="2"/>
      <c r="V15" s="2"/>
      <c r="W15" s="2"/>
      <c r="X15" s="2"/>
      <c r="Y15" s="2"/>
      <c r="Z15" s="2"/>
    </row>
    <row r="16" spans="1:26" x14ac:dyDescent="0.2">
      <c r="A16" s="3" t="s">
        <v>61</v>
      </c>
      <c r="B16" s="3" t="s">
        <v>51</v>
      </c>
      <c r="C16" s="3" t="s">
        <v>62</v>
      </c>
      <c r="D16" s="3" t="s">
        <v>53</v>
      </c>
      <c r="E16" s="3" t="s">
        <v>48</v>
      </c>
      <c r="F16" s="3" t="s">
        <v>54</v>
      </c>
      <c r="G16" s="3">
        <v>4</v>
      </c>
      <c r="H16" s="2"/>
      <c r="I16" s="2"/>
      <c r="J16" s="2"/>
      <c r="K16" s="2"/>
      <c r="L16" s="2"/>
      <c r="M16" s="2"/>
      <c r="N16" s="2"/>
      <c r="O16" s="2"/>
      <c r="P16" s="2"/>
      <c r="Q16" s="2"/>
      <c r="R16" s="2"/>
      <c r="S16" s="2"/>
      <c r="T16" s="2"/>
      <c r="U16" s="2"/>
      <c r="V16" s="2"/>
      <c r="W16" s="2"/>
      <c r="X16" s="2"/>
      <c r="Y16" s="2"/>
      <c r="Z16" s="2"/>
    </row>
    <row r="17" spans="1:26" x14ac:dyDescent="0.2">
      <c r="A17" s="1" t="s">
        <v>35</v>
      </c>
      <c r="B17" s="2"/>
      <c r="C17" s="2"/>
      <c r="D17" s="2"/>
      <c r="E17" s="2"/>
      <c r="F17" s="2"/>
      <c r="G17" s="3" t="s">
        <v>18</v>
      </c>
      <c r="H17" s="3" t="s">
        <v>138</v>
      </c>
      <c r="I17" s="2"/>
      <c r="J17" s="2"/>
      <c r="K17" s="2"/>
      <c r="L17" s="2"/>
      <c r="M17" s="2"/>
      <c r="N17" s="2"/>
      <c r="O17" s="2"/>
      <c r="P17" s="2"/>
      <c r="Q17" s="2"/>
      <c r="R17" s="2"/>
      <c r="S17" s="2"/>
      <c r="T17" s="2"/>
      <c r="U17" s="2"/>
      <c r="V17" s="2"/>
      <c r="W17" s="2"/>
      <c r="X17" s="2"/>
      <c r="Y17" s="2"/>
      <c r="Z17" s="2"/>
    </row>
    <row r="18" spans="1:26" x14ac:dyDescent="0.2">
      <c r="A18" s="3" t="s">
        <v>139</v>
      </c>
      <c r="B18" s="2"/>
      <c r="C18" s="3" t="s">
        <v>116</v>
      </c>
      <c r="D18" s="3" t="s">
        <v>9</v>
      </c>
      <c r="E18" s="3" t="s">
        <v>9</v>
      </c>
      <c r="F18" s="2"/>
      <c r="G18" s="3" t="s">
        <v>9</v>
      </c>
      <c r="H18" s="2"/>
      <c r="I18" s="2"/>
      <c r="J18" s="2"/>
      <c r="K18" s="2"/>
      <c r="L18" s="2"/>
      <c r="M18" s="2"/>
      <c r="N18" s="2"/>
      <c r="O18" s="2"/>
      <c r="P18" s="2"/>
      <c r="Q18" s="2"/>
      <c r="R18" s="2"/>
      <c r="S18" s="2"/>
      <c r="T18" s="2"/>
      <c r="U18" s="2"/>
      <c r="V18" s="2"/>
      <c r="W18" s="2"/>
      <c r="X18" s="2"/>
      <c r="Y18" s="2"/>
      <c r="Z18" s="2"/>
    </row>
    <row r="19" spans="1:26" x14ac:dyDescent="0.2">
      <c r="A19" s="3" t="s">
        <v>117</v>
      </c>
      <c r="B19" s="3" t="s">
        <v>118</v>
      </c>
      <c r="C19" s="3" t="s">
        <v>119</v>
      </c>
      <c r="D19" s="3" t="s">
        <v>120</v>
      </c>
      <c r="E19" s="3" t="s">
        <v>76</v>
      </c>
      <c r="F19" s="3" t="s">
        <v>121</v>
      </c>
      <c r="G19" s="3">
        <v>5</v>
      </c>
      <c r="H19" s="2"/>
      <c r="I19" s="2"/>
      <c r="J19" s="2"/>
      <c r="K19" s="2"/>
      <c r="L19" s="2"/>
      <c r="M19" s="2"/>
      <c r="N19" s="2"/>
      <c r="O19" s="2"/>
      <c r="P19" s="2"/>
      <c r="Q19" s="2"/>
      <c r="R19" s="2"/>
      <c r="S19" s="2"/>
      <c r="T19" s="2"/>
      <c r="U19" s="2"/>
      <c r="V19" s="2"/>
      <c r="W19" s="2"/>
      <c r="X19" s="2"/>
      <c r="Y19" s="2"/>
      <c r="Z19" s="2"/>
    </row>
    <row r="20" spans="1:26" x14ac:dyDescent="0.2">
      <c r="A20" s="3" t="s">
        <v>122</v>
      </c>
      <c r="B20" s="3" t="s">
        <v>99</v>
      </c>
      <c r="C20" s="3" t="s">
        <v>123</v>
      </c>
      <c r="D20" s="3" t="s">
        <v>101</v>
      </c>
      <c r="E20" s="3" t="s">
        <v>25</v>
      </c>
      <c r="F20" s="3" t="s">
        <v>121</v>
      </c>
      <c r="G20" s="3">
        <v>4</v>
      </c>
      <c r="H20" s="2"/>
      <c r="I20" s="2"/>
      <c r="J20" s="2"/>
      <c r="K20" s="2"/>
      <c r="L20" s="2"/>
      <c r="M20" s="2"/>
      <c r="N20" s="2"/>
      <c r="O20" s="2"/>
      <c r="P20" s="2"/>
      <c r="Q20" s="2"/>
      <c r="R20" s="2"/>
      <c r="S20" s="2"/>
      <c r="T20" s="2"/>
      <c r="U20" s="2"/>
      <c r="V20" s="2"/>
      <c r="W20" s="2"/>
      <c r="X20" s="2"/>
      <c r="Y20" s="2"/>
      <c r="Z20" s="2"/>
    </row>
    <row r="21" spans="1:26" x14ac:dyDescent="0.2">
      <c r="A21" s="3" t="s">
        <v>124</v>
      </c>
      <c r="B21" s="3" t="s">
        <v>125</v>
      </c>
      <c r="C21" s="3" t="s">
        <v>126</v>
      </c>
      <c r="D21" s="3" t="s">
        <v>127</v>
      </c>
      <c r="E21" s="3" t="s">
        <v>76</v>
      </c>
      <c r="F21" s="3" t="s">
        <v>121</v>
      </c>
      <c r="G21" s="3">
        <v>5</v>
      </c>
      <c r="H21" s="2"/>
      <c r="I21" s="2"/>
      <c r="J21" s="2"/>
      <c r="K21" s="2"/>
      <c r="L21" s="2"/>
      <c r="M21" s="2"/>
      <c r="N21" s="2"/>
      <c r="O21" s="2"/>
      <c r="P21" s="2"/>
      <c r="Q21" s="2"/>
      <c r="R21" s="2"/>
      <c r="S21" s="2"/>
      <c r="T21" s="2"/>
      <c r="U21" s="2"/>
      <c r="V21" s="2"/>
      <c r="W21" s="2"/>
      <c r="X21" s="2"/>
      <c r="Y21" s="2"/>
      <c r="Z21" s="2"/>
    </row>
    <row r="22" spans="1:26" x14ac:dyDescent="0.2">
      <c r="A22" s="3" t="s">
        <v>128</v>
      </c>
      <c r="B22" s="3" t="s">
        <v>99</v>
      </c>
      <c r="C22" s="3" t="s">
        <v>129</v>
      </c>
      <c r="D22" s="3" t="s">
        <v>101</v>
      </c>
      <c r="E22" s="3" t="s">
        <v>25</v>
      </c>
      <c r="F22" s="3" t="s">
        <v>102</v>
      </c>
      <c r="G22" s="3">
        <v>5</v>
      </c>
      <c r="H22" s="2"/>
      <c r="I22" s="2"/>
      <c r="J22" s="2"/>
      <c r="K22" s="2"/>
      <c r="L22" s="2"/>
      <c r="M22" s="2"/>
      <c r="N22" s="2"/>
      <c r="O22" s="2"/>
      <c r="P22" s="2"/>
      <c r="Q22" s="2"/>
      <c r="R22" s="2"/>
      <c r="S22" s="2"/>
      <c r="T22" s="2"/>
      <c r="U22" s="2"/>
      <c r="V22" s="2"/>
      <c r="W22" s="2"/>
      <c r="X22" s="2"/>
      <c r="Y22" s="2"/>
      <c r="Z22" s="2"/>
    </row>
    <row r="23" spans="1:26" x14ac:dyDescent="0.2">
      <c r="A23" s="3" t="s">
        <v>130</v>
      </c>
      <c r="B23" s="3" t="s">
        <v>99</v>
      </c>
      <c r="C23" s="3" t="s">
        <v>131</v>
      </c>
      <c r="D23" s="3" t="s">
        <v>101</v>
      </c>
      <c r="E23" s="3" t="s">
        <v>25</v>
      </c>
      <c r="F23" s="3" t="s">
        <v>102</v>
      </c>
      <c r="G23" s="3">
        <v>4</v>
      </c>
      <c r="H23" s="2"/>
      <c r="I23" s="2"/>
      <c r="J23" s="2"/>
      <c r="K23" s="2"/>
      <c r="L23" s="2"/>
      <c r="M23" s="2"/>
      <c r="N23" s="2"/>
      <c r="O23" s="2"/>
      <c r="P23" s="2"/>
      <c r="Q23" s="2"/>
      <c r="R23" s="2"/>
      <c r="S23" s="2"/>
      <c r="T23" s="2"/>
      <c r="U23" s="2"/>
      <c r="V23" s="2"/>
      <c r="W23" s="2"/>
      <c r="X23" s="2"/>
      <c r="Y23" s="2"/>
      <c r="Z23" s="2"/>
    </row>
    <row r="24" spans="1:26" x14ac:dyDescent="0.2">
      <c r="A24" s="3" t="s">
        <v>132</v>
      </c>
      <c r="B24" s="3" t="s">
        <v>133</v>
      </c>
      <c r="C24" s="3" t="s">
        <v>134</v>
      </c>
      <c r="D24" s="3">
        <v>2020</v>
      </c>
      <c r="E24" s="3" t="s">
        <v>76</v>
      </c>
      <c r="F24" s="4" t="s">
        <v>135</v>
      </c>
      <c r="G24" s="5" t="s">
        <v>177</v>
      </c>
      <c r="H24" s="3" t="s">
        <v>140</v>
      </c>
      <c r="I24" s="2"/>
      <c r="J24" s="2"/>
      <c r="K24" s="2"/>
      <c r="L24" s="2"/>
      <c r="M24" s="2"/>
      <c r="N24" s="2"/>
      <c r="O24" s="2"/>
      <c r="P24" s="2"/>
      <c r="Q24" s="2"/>
      <c r="R24" s="2"/>
      <c r="S24" s="2"/>
      <c r="T24" s="2"/>
      <c r="U24" s="2"/>
      <c r="V24" s="2"/>
      <c r="W24" s="2"/>
      <c r="X24" s="2"/>
      <c r="Y24" s="2"/>
      <c r="Z24" s="2"/>
    </row>
    <row r="25" spans="1:26" x14ac:dyDescent="0.2">
      <c r="A25" s="1" t="s">
        <v>35</v>
      </c>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3" t="s">
        <v>9</v>
      </c>
      <c r="H26" s="2"/>
      <c r="I26" s="2"/>
      <c r="J26" s="2"/>
      <c r="K26" s="2"/>
      <c r="L26" s="2"/>
      <c r="M26" s="2"/>
      <c r="N26" s="2"/>
      <c r="O26" s="2"/>
      <c r="P26" s="2"/>
      <c r="Q26" s="2"/>
      <c r="R26" s="2"/>
      <c r="S26" s="2"/>
      <c r="T26" s="2"/>
      <c r="U26" s="2"/>
      <c r="V26" s="2"/>
      <c r="W26" s="2"/>
      <c r="X26" s="2"/>
      <c r="Y26" s="2"/>
      <c r="Z26" s="2"/>
    </row>
    <row r="27" spans="1:26" x14ac:dyDescent="0.2">
      <c r="A27" s="3" t="s">
        <v>63</v>
      </c>
      <c r="B27" s="2"/>
      <c r="C27" s="3" t="s">
        <v>64</v>
      </c>
      <c r="D27" s="3" t="s">
        <v>9</v>
      </c>
      <c r="E27" s="3" t="s">
        <v>9</v>
      </c>
      <c r="F27" s="2"/>
      <c r="G27" s="3" t="s">
        <v>9</v>
      </c>
      <c r="H27" s="2"/>
      <c r="I27" s="2"/>
      <c r="J27" s="2"/>
      <c r="K27" s="2"/>
      <c r="L27" s="2"/>
      <c r="M27" s="2"/>
      <c r="N27" s="2"/>
      <c r="O27" s="2"/>
      <c r="P27" s="2"/>
      <c r="Q27" s="2"/>
      <c r="R27" s="2"/>
      <c r="S27" s="2"/>
      <c r="T27" s="2"/>
      <c r="U27" s="2"/>
      <c r="V27" s="2"/>
      <c r="W27" s="2"/>
      <c r="X27" s="2"/>
      <c r="Y27" s="2"/>
      <c r="Z27" s="2"/>
    </row>
    <row r="28" spans="1:26" x14ac:dyDescent="0.2">
      <c r="A28" s="3" t="s">
        <v>65</v>
      </c>
      <c r="B28" s="2"/>
      <c r="C28" s="3" t="s">
        <v>66</v>
      </c>
      <c r="D28" s="3" t="s">
        <v>9</v>
      </c>
      <c r="E28" s="3" t="s">
        <v>9</v>
      </c>
      <c r="F28" s="2"/>
      <c r="G28" s="3" t="s">
        <v>9</v>
      </c>
      <c r="H28" s="2"/>
      <c r="I28" s="2"/>
      <c r="J28" s="2"/>
      <c r="K28" s="2"/>
      <c r="L28" s="2"/>
      <c r="M28" s="2"/>
      <c r="N28" s="2"/>
      <c r="O28" s="2"/>
      <c r="P28" s="2"/>
      <c r="Q28" s="2"/>
      <c r="R28" s="2"/>
      <c r="S28" s="2"/>
      <c r="T28" s="2"/>
      <c r="U28" s="2"/>
      <c r="V28" s="2"/>
      <c r="W28" s="2"/>
      <c r="X28" s="2"/>
      <c r="Y28" s="2"/>
      <c r="Z28" s="2"/>
    </row>
    <row r="29" spans="1:26" x14ac:dyDescent="0.2">
      <c r="A29" s="3" t="s">
        <v>67</v>
      </c>
      <c r="B29" s="3" t="s">
        <v>68</v>
      </c>
      <c r="C29" s="3" t="s">
        <v>69</v>
      </c>
      <c r="D29" s="3">
        <v>2017</v>
      </c>
      <c r="E29" s="3" t="s">
        <v>70</v>
      </c>
      <c r="F29" s="3" t="s">
        <v>71</v>
      </c>
      <c r="G29" s="3">
        <v>4</v>
      </c>
      <c r="H29" s="2"/>
      <c r="I29" s="2"/>
      <c r="J29" s="2"/>
      <c r="K29" s="2"/>
      <c r="L29" s="2"/>
      <c r="M29" s="2"/>
      <c r="N29" s="2"/>
      <c r="O29" s="2"/>
      <c r="P29" s="2"/>
      <c r="Q29" s="2"/>
      <c r="R29" s="2"/>
      <c r="S29" s="2"/>
      <c r="T29" s="2"/>
      <c r="U29" s="2"/>
      <c r="V29" s="2"/>
      <c r="W29" s="2"/>
      <c r="X29" s="2"/>
      <c r="Y29" s="2"/>
      <c r="Z29" s="2"/>
    </row>
    <row r="30" spans="1:26" x14ac:dyDescent="0.2">
      <c r="A30" s="3" t="s">
        <v>72</v>
      </c>
      <c r="B30" s="3" t="s">
        <v>73</v>
      </c>
      <c r="C30" s="3" t="s">
        <v>74</v>
      </c>
      <c r="D30" s="3" t="s">
        <v>75</v>
      </c>
      <c r="E30" s="3" t="s">
        <v>76</v>
      </c>
      <c r="F30" s="3" t="s">
        <v>77</v>
      </c>
      <c r="G30" s="3">
        <v>3</v>
      </c>
      <c r="H30" s="2"/>
      <c r="I30" s="2"/>
      <c r="J30" s="2"/>
      <c r="K30" s="2"/>
      <c r="L30" s="2"/>
      <c r="M30" s="2"/>
      <c r="N30" s="2"/>
      <c r="O30" s="2"/>
      <c r="P30" s="2"/>
      <c r="Q30" s="2"/>
      <c r="R30" s="2"/>
      <c r="S30" s="2"/>
      <c r="T30" s="2"/>
      <c r="U30" s="2"/>
      <c r="V30" s="2"/>
      <c r="W30" s="2"/>
      <c r="X30" s="2"/>
      <c r="Y30" s="2"/>
      <c r="Z30" s="2"/>
    </row>
    <row r="31" spans="1:26" x14ac:dyDescent="0.2">
      <c r="A31" s="3" t="s">
        <v>78</v>
      </c>
      <c r="B31" s="3" t="s">
        <v>79</v>
      </c>
      <c r="C31" s="3" t="s">
        <v>80</v>
      </c>
      <c r="D31" s="3" t="s">
        <v>81</v>
      </c>
      <c r="E31" s="3" t="s">
        <v>76</v>
      </c>
      <c r="F31" s="3" t="s">
        <v>82</v>
      </c>
      <c r="G31" s="3">
        <v>5</v>
      </c>
      <c r="H31" s="2"/>
      <c r="I31" s="2"/>
      <c r="J31" s="2"/>
      <c r="K31" s="2"/>
      <c r="L31" s="2"/>
      <c r="M31" s="2"/>
      <c r="N31" s="2"/>
      <c r="O31" s="2"/>
      <c r="P31" s="2"/>
      <c r="Q31" s="2"/>
      <c r="R31" s="2"/>
      <c r="S31" s="2"/>
      <c r="T31" s="2"/>
      <c r="U31" s="2"/>
      <c r="V31" s="2"/>
      <c r="W31" s="2"/>
      <c r="X31" s="2"/>
      <c r="Y31" s="2"/>
      <c r="Z31" s="2"/>
    </row>
    <row r="32" spans="1:26" x14ac:dyDescent="0.2">
      <c r="A32" s="3" t="s">
        <v>83</v>
      </c>
      <c r="B32" s="3" t="s">
        <v>84</v>
      </c>
      <c r="C32" s="3" t="s">
        <v>85</v>
      </c>
      <c r="D32" s="3" t="s">
        <v>86</v>
      </c>
      <c r="E32" s="3" t="s">
        <v>76</v>
      </c>
      <c r="F32" s="3" t="s">
        <v>87</v>
      </c>
      <c r="G32" s="3">
        <v>5</v>
      </c>
      <c r="H32" s="2"/>
      <c r="I32" s="2"/>
      <c r="J32" s="2"/>
      <c r="K32" s="2"/>
      <c r="L32" s="2"/>
      <c r="M32" s="2"/>
      <c r="N32" s="2"/>
      <c r="O32" s="2"/>
      <c r="P32" s="2"/>
      <c r="Q32" s="2"/>
      <c r="R32" s="2"/>
      <c r="S32" s="2"/>
      <c r="T32" s="2"/>
      <c r="U32" s="2"/>
      <c r="V32" s="2"/>
      <c r="W32" s="2"/>
      <c r="X32" s="2"/>
      <c r="Y32" s="2"/>
      <c r="Z32" s="2"/>
    </row>
    <row r="33" spans="1:26" x14ac:dyDescent="0.2">
      <c r="A33" s="3" t="s">
        <v>88</v>
      </c>
      <c r="B33" s="3" t="s">
        <v>89</v>
      </c>
      <c r="C33" s="3" t="s">
        <v>90</v>
      </c>
      <c r="D33" s="3" t="s">
        <v>81</v>
      </c>
      <c r="E33" s="3" t="s">
        <v>91</v>
      </c>
      <c r="F33" s="3" t="s">
        <v>92</v>
      </c>
      <c r="G33" s="3">
        <v>4</v>
      </c>
      <c r="H33" s="2"/>
      <c r="I33" s="2"/>
      <c r="J33" s="2"/>
      <c r="K33" s="2"/>
      <c r="L33" s="2"/>
      <c r="M33" s="2"/>
      <c r="N33" s="2"/>
      <c r="O33" s="2"/>
      <c r="P33" s="2"/>
      <c r="Q33" s="2"/>
      <c r="R33" s="2"/>
      <c r="S33" s="2"/>
      <c r="T33" s="2"/>
      <c r="U33" s="2"/>
      <c r="V33" s="2"/>
      <c r="W33" s="2"/>
      <c r="X33" s="2"/>
      <c r="Y33" s="2"/>
      <c r="Z33" s="2"/>
    </row>
    <row r="34" spans="1:26" x14ac:dyDescent="0.2">
      <c r="A34" s="3" t="s">
        <v>93</v>
      </c>
      <c r="B34" s="3" t="s">
        <v>94</v>
      </c>
      <c r="C34" s="3" t="s">
        <v>95</v>
      </c>
      <c r="D34" s="3" t="s">
        <v>96</v>
      </c>
      <c r="E34" s="3" t="s">
        <v>91</v>
      </c>
      <c r="F34" s="3" t="s">
        <v>97</v>
      </c>
      <c r="G34" s="3">
        <v>4</v>
      </c>
      <c r="H34" s="2"/>
      <c r="I34" s="2"/>
      <c r="J34" s="2"/>
      <c r="K34" s="2"/>
      <c r="L34" s="2"/>
      <c r="M34" s="2"/>
      <c r="N34" s="2"/>
      <c r="O34" s="2"/>
      <c r="P34" s="2"/>
      <c r="Q34" s="2"/>
      <c r="R34" s="2"/>
      <c r="S34" s="2"/>
      <c r="T34" s="2"/>
      <c r="U34" s="2"/>
      <c r="V34" s="2"/>
      <c r="W34" s="2"/>
      <c r="X34" s="2"/>
      <c r="Y34" s="2"/>
      <c r="Z34" s="2"/>
    </row>
    <row r="35" spans="1:26" x14ac:dyDescent="0.2">
      <c r="A35" s="3" t="s">
        <v>98</v>
      </c>
      <c r="B35" s="3" t="s">
        <v>99</v>
      </c>
      <c r="C35" s="3" t="s">
        <v>100</v>
      </c>
      <c r="D35" s="3" t="s">
        <v>101</v>
      </c>
      <c r="E35" s="3" t="s">
        <v>25</v>
      </c>
      <c r="F35" s="3" t="s">
        <v>102</v>
      </c>
      <c r="G35" s="3">
        <v>4</v>
      </c>
      <c r="H35" s="2"/>
      <c r="I35" s="2"/>
      <c r="J35" s="2"/>
      <c r="K35" s="2"/>
      <c r="L35" s="2"/>
      <c r="M35" s="2"/>
      <c r="N35" s="2"/>
      <c r="O35" s="2"/>
      <c r="P35" s="2"/>
      <c r="Q35" s="2"/>
      <c r="R35" s="2"/>
      <c r="S35" s="2"/>
      <c r="T35" s="2"/>
      <c r="U35" s="2"/>
      <c r="V35" s="2"/>
      <c r="W35" s="2"/>
      <c r="X35" s="2"/>
      <c r="Y35" s="2"/>
      <c r="Z35" s="2"/>
    </row>
    <row r="36" spans="1:26" x14ac:dyDescent="0.2">
      <c r="A36" s="1" t="s">
        <v>35</v>
      </c>
      <c r="B36" s="2"/>
      <c r="C36" s="2"/>
      <c r="D36" s="2"/>
      <c r="E36" s="2"/>
      <c r="F36" s="2"/>
      <c r="G36" s="3" t="s">
        <v>18</v>
      </c>
      <c r="H36" s="3" t="s">
        <v>141</v>
      </c>
      <c r="I36" s="2"/>
      <c r="J36" s="2"/>
      <c r="K36" s="2"/>
      <c r="L36" s="2"/>
      <c r="M36" s="2"/>
      <c r="N36" s="2"/>
      <c r="O36" s="2"/>
      <c r="P36" s="2"/>
      <c r="Q36" s="2"/>
      <c r="R36" s="2"/>
      <c r="S36" s="2"/>
      <c r="T36" s="2"/>
      <c r="U36" s="2"/>
      <c r="V36" s="2"/>
      <c r="W36" s="2"/>
      <c r="X36" s="2"/>
      <c r="Y36" s="2"/>
      <c r="Z36" s="2"/>
    </row>
    <row r="37" spans="1:26" x14ac:dyDescent="0.2">
      <c r="A37" s="3" t="s">
        <v>103</v>
      </c>
      <c r="B37" s="2"/>
      <c r="C37" s="3" t="s">
        <v>104</v>
      </c>
      <c r="D37" s="3" t="s">
        <v>9</v>
      </c>
      <c r="E37" s="3" t="s">
        <v>9</v>
      </c>
      <c r="F37" s="2"/>
      <c r="G37" s="3" t="s">
        <v>9</v>
      </c>
      <c r="H37" s="2"/>
      <c r="I37" s="2"/>
      <c r="J37" s="2"/>
      <c r="K37" s="2"/>
      <c r="L37" s="2"/>
      <c r="M37" s="2"/>
      <c r="N37" s="2"/>
      <c r="O37" s="2"/>
      <c r="P37" s="2"/>
      <c r="Q37" s="2"/>
      <c r="R37" s="2"/>
      <c r="S37" s="2"/>
      <c r="T37" s="2"/>
      <c r="U37" s="2"/>
      <c r="V37" s="2"/>
      <c r="W37" s="2"/>
      <c r="X37" s="2"/>
      <c r="Y37" s="2"/>
      <c r="Z37" s="2"/>
    </row>
    <row r="38" spans="1:26" x14ac:dyDescent="0.2">
      <c r="A38" s="3" t="s">
        <v>105</v>
      </c>
      <c r="B38" s="3" t="s">
        <v>106</v>
      </c>
      <c r="C38" s="3" t="s">
        <v>107</v>
      </c>
      <c r="D38" s="3" t="s">
        <v>108</v>
      </c>
      <c r="E38" s="3" t="s">
        <v>109</v>
      </c>
      <c r="F38" s="2"/>
      <c r="G38" s="3">
        <v>3</v>
      </c>
      <c r="H38" s="2"/>
      <c r="I38" s="2"/>
      <c r="J38" s="2"/>
      <c r="K38" s="2"/>
      <c r="L38" s="2"/>
      <c r="M38" s="2"/>
      <c r="N38" s="2"/>
      <c r="O38" s="2"/>
      <c r="P38" s="2"/>
      <c r="Q38" s="2"/>
      <c r="R38" s="2"/>
      <c r="S38" s="2"/>
      <c r="T38" s="2"/>
      <c r="U38" s="2"/>
      <c r="V38" s="2"/>
      <c r="W38" s="2"/>
      <c r="X38" s="2"/>
      <c r="Y38" s="2"/>
      <c r="Z38" s="2"/>
    </row>
    <row r="39" spans="1:26" x14ac:dyDescent="0.2">
      <c r="A39" s="3" t="s">
        <v>110</v>
      </c>
      <c r="B39" s="3" t="s">
        <v>106</v>
      </c>
      <c r="C39" s="3" t="s">
        <v>111</v>
      </c>
      <c r="D39" s="3" t="s">
        <v>108</v>
      </c>
      <c r="E39" s="3" t="s">
        <v>112</v>
      </c>
      <c r="F39" s="2"/>
      <c r="G39" s="3">
        <v>3</v>
      </c>
      <c r="H39" s="3" t="s">
        <v>142</v>
      </c>
      <c r="I39" s="2"/>
      <c r="J39" s="2"/>
      <c r="K39" s="2"/>
      <c r="L39" s="2"/>
      <c r="M39" s="2"/>
      <c r="N39" s="2"/>
      <c r="O39" s="2"/>
      <c r="P39" s="2"/>
      <c r="Q39" s="2"/>
      <c r="R39" s="2"/>
      <c r="S39" s="2"/>
      <c r="T39" s="2"/>
      <c r="U39" s="2"/>
      <c r="V39" s="2"/>
      <c r="W39" s="2"/>
      <c r="X39" s="2"/>
      <c r="Y39" s="2"/>
      <c r="Z39" s="2"/>
    </row>
    <row r="40" spans="1:26" x14ac:dyDescent="0.2">
      <c r="A40" s="3" t="s">
        <v>113</v>
      </c>
      <c r="B40" s="3" t="s">
        <v>106</v>
      </c>
      <c r="C40" s="3" t="s">
        <v>114</v>
      </c>
      <c r="D40" s="3" t="s">
        <v>108</v>
      </c>
      <c r="E40" s="3" t="s">
        <v>115</v>
      </c>
      <c r="F40" s="2"/>
      <c r="G40" s="3">
        <v>3</v>
      </c>
      <c r="H40" s="2"/>
      <c r="I40" s="2"/>
      <c r="J40" s="2"/>
      <c r="K40" s="2"/>
      <c r="L40" s="2"/>
      <c r="M40" s="2"/>
      <c r="N40" s="2"/>
      <c r="O40" s="2"/>
      <c r="P40" s="2"/>
      <c r="Q40" s="2"/>
      <c r="R40" s="2"/>
      <c r="S40" s="2"/>
      <c r="T40" s="2"/>
      <c r="U40" s="2"/>
      <c r="V40" s="2"/>
      <c r="W40" s="2"/>
      <c r="X40" s="2"/>
      <c r="Y40" s="2"/>
      <c r="Z40" s="2"/>
    </row>
    <row r="41" spans="1:26" x14ac:dyDescent="0.2">
      <c r="A41" s="1" t="s">
        <v>35</v>
      </c>
      <c r="B41" s="2"/>
      <c r="C41" s="2"/>
      <c r="D41" s="2"/>
      <c r="E41" s="2"/>
      <c r="F41" s="2"/>
      <c r="G41" s="3" t="s">
        <v>18</v>
      </c>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ef="F24" r:id="rId1" xr:uid="{06FDE9F5-3701-514D-86C1-130CA721031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50B0F-1F3E-2643-A47A-68C7230A1A56}">
  <dimension ref="A1:Z1000"/>
  <sheetViews>
    <sheetView workbookViewId="0">
      <selection activeCell="A24" sqref="A24"/>
    </sheetView>
  </sheetViews>
  <sheetFormatPr baseColWidth="10" defaultRowHeight="16" x14ac:dyDescent="0.2"/>
  <cols>
    <col min="1" max="1" width="44.6640625" bestFit="1" customWidth="1"/>
  </cols>
  <sheetData>
    <row r="1" spans="1:26" x14ac:dyDescent="0.2">
      <c r="A1" s="1" t="s">
        <v>0</v>
      </c>
      <c r="B1" s="1" t="s">
        <v>1</v>
      </c>
      <c r="C1" s="1" t="s">
        <v>2</v>
      </c>
      <c r="D1" s="1" t="s">
        <v>3</v>
      </c>
      <c r="E1" s="1" t="s">
        <v>4</v>
      </c>
      <c r="F1" s="1" t="s">
        <v>5</v>
      </c>
      <c r="G1" s="1" t="s">
        <v>6</v>
      </c>
      <c r="H1" s="2"/>
      <c r="I1" s="1" t="s">
        <v>136</v>
      </c>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3" t="s">
        <v>7</v>
      </c>
      <c r="B3" s="2"/>
      <c r="C3" s="3" t="s">
        <v>8</v>
      </c>
      <c r="D3" s="3" t="s">
        <v>9</v>
      </c>
      <c r="E3" s="3" t="s">
        <v>9</v>
      </c>
      <c r="F3" s="2"/>
      <c r="G3" s="2"/>
      <c r="I3" s="2"/>
      <c r="J3" s="2"/>
      <c r="K3" s="2"/>
      <c r="L3" s="2"/>
      <c r="M3" s="2"/>
      <c r="N3" s="2"/>
      <c r="O3" s="2"/>
      <c r="P3" s="2"/>
      <c r="Q3" s="2"/>
      <c r="R3" s="2"/>
      <c r="S3" s="2"/>
      <c r="T3" s="2"/>
      <c r="U3" s="2"/>
      <c r="V3" s="2"/>
      <c r="W3" s="2"/>
      <c r="X3" s="2"/>
      <c r="Y3" s="2"/>
      <c r="Z3" s="2"/>
    </row>
    <row r="4" spans="1:26" x14ac:dyDescent="0.2">
      <c r="A4" s="3" t="s">
        <v>10</v>
      </c>
      <c r="B4" s="2"/>
      <c r="C4" s="3" t="s">
        <v>11</v>
      </c>
      <c r="D4" s="3" t="s">
        <v>9</v>
      </c>
      <c r="E4" s="3" t="s">
        <v>9</v>
      </c>
      <c r="F4" s="2"/>
      <c r="G4" s="2"/>
      <c r="I4" s="2"/>
      <c r="J4" s="2"/>
      <c r="K4" s="2"/>
      <c r="L4" s="2"/>
      <c r="M4" s="2"/>
      <c r="N4" s="2"/>
      <c r="O4" s="2"/>
      <c r="P4" s="2"/>
      <c r="Q4" s="2"/>
      <c r="R4" s="2"/>
      <c r="S4" s="2"/>
      <c r="T4" s="2"/>
      <c r="U4" s="2"/>
      <c r="V4" s="2"/>
      <c r="W4" s="2"/>
      <c r="X4" s="2"/>
      <c r="Y4" s="2"/>
      <c r="Z4" s="2"/>
    </row>
    <row r="5" spans="1:26" x14ac:dyDescent="0.2">
      <c r="A5" s="3" t="s">
        <v>12</v>
      </c>
      <c r="B5" s="3" t="s">
        <v>13</v>
      </c>
      <c r="C5" s="3" t="s">
        <v>14</v>
      </c>
      <c r="D5" s="3" t="s">
        <v>15</v>
      </c>
      <c r="E5" s="3" t="s">
        <v>16</v>
      </c>
      <c r="F5" s="3" t="s">
        <v>17</v>
      </c>
      <c r="G5" s="3">
        <v>5</v>
      </c>
      <c r="I5" s="2"/>
      <c r="J5" s="2"/>
      <c r="K5" s="2"/>
      <c r="L5" s="2"/>
      <c r="M5" s="2"/>
      <c r="N5" s="2"/>
      <c r="O5" s="2"/>
      <c r="P5" s="2"/>
      <c r="Q5" s="2"/>
      <c r="R5" s="2"/>
      <c r="S5" s="2"/>
      <c r="T5" s="2"/>
      <c r="U5" s="2"/>
      <c r="V5" s="2"/>
      <c r="W5" s="2"/>
      <c r="X5" s="2"/>
      <c r="Y5" s="2"/>
      <c r="Z5" s="2"/>
    </row>
    <row r="6" spans="1:26" x14ac:dyDescent="0.2">
      <c r="A6" s="3" t="s">
        <v>19</v>
      </c>
      <c r="B6" s="3" t="s">
        <v>13</v>
      </c>
      <c r="C6" s="3" t="s">
        <v>20</v>
      </c>
      <c r="D6" s="3" t="s">
        <v>15</v>
      </c>
      <c r="E6" s="3" t="s">
        <v>16</v>
      </c>
      <c r="F6" s="3" t="s">
        <v>17</v>
      </c>
      <c r="G6" s="3">
        <v>3</v>
      </c>
      <c r="I6" s="2"/>
      <c r="J6" s="2"/>
      <c r="K6" s="2"/>
      <c r="L6" s="2"/>
      <c r="M6" s="2"/>
      <c r="N6" s="2"/>
      <c r="O6" s="2"/>
      <c r="P6" s="2"/>
      <c r="Q6" s="2"/>
      <c r="R6" s="2"/>
      <c r="S6" s="2"/>
      <c r="T6" s="2"/>
      <c r="U6" s="2"/>
      <c r="V6" s="2"/>
      <c r="W6" s="2"/>
      <c r="X6" s="2"/>
      <c r="Y6" s="2"/>
      <c r="Z6" s="2"/>
    </row>
    <row r="7" spans="1:26" x14ac:dyDescent="0.2">
      <c r="A7" s="3" t="s">
        <v>21</v>
      </c>
      <c r="B7" s="3" t="s">
        <v>22</v>
      </c>
      <c r="C7" s="3" t="s">
        <v>23</v>
      </c>
      <c r="D7" s="3" t="s">
        <v>24</v>
      </c>
      <c r="E7" s="3" t="s">
        <v>25</v>
      </c>
      <c r="F7" s="3" t="s">
        <v>26</v>
      </c>
      <c r="G7" s="3">
        <v>3</v>
      </c>
      <c r="I7" s="2"/>
      <c r="J7" s="2"/>
      <c r="K7" s="2"/>
      <c r="L7" s="2"/>
      <c r="M7" s="2"/>
      <c r="N7" s="2"/>
      <c r="O7" s="2"/>
      <c r="P7" s="2"/>
      <c r="Q7" s="2"/>
      <c r="R7" s="2"/>
      <c r="S7" s="2"/>
      <c r="T7" s="2"/>
      <c r="U7" s="2"/>
      <c r="V7" s="2"/>
      <c r="W7" s="2"/>
      <c r="X7" s="2"/>
      <c r="Y7" s="2"/>
      <c r="Z7" s="2"/>
    </row>
    <row r="8" spans="1:26" x14ac:dyDescent="0.2">
      <c r="A8" s="3" t="s">
        <v>27</v>
      </c>
      <c r="B8" s="3" t="s">
        <v>28</v>
      </c>
      <c r="C8" s="3" t="s">
        <v>29</v>
      </c>
      <c r="D8" s="3" t="s">
        <v>30</v>
      </c>
      <c r="E8" s="3" t="s">
        <v>31</v>
      </c>
      <c r="F8" s="3" t="s">
        <v>32</v>
      </c>
      <c r="G8" s="3">
        <v>5</v>
      </c>
      <c r="I8" s="2"/>
      <c r="J8" s="2"/>
      <c r="K8" s="2"/>
      <c r="L8" s="2"/>
      <c r="M8" s="2"/>
      <c r="N8" s="2"/>
      <c r="O8" s="2"/>
      <c r="P8" s="2"/>
      <c r="Q8" s="2"/>
      <c r="R8" s="2"/>
      <c r="S8" s="2"/>
      <c r="T8" s="2"/>
      <c r="U8" s="2"/>
      <c r="V8" s="2"/>
      <c r="W8" s="2"/>
      <c r="X8" s="2"/>
      <c r="Y8" s="2"/>
      <c r="Z8" s="2"/>
    </row>
    <row r="9" spans="1:26" x14ac:dyDescent="0.2">
      <c r="A9" s="3" t="s">
        <v>33</v>
      </c>
      <c r="B9" s="3" t="s">
        <v>28</v>
      </c>
      <c r="C9" s="3" t="s">
        <v>34</v>
      </c>
      <c r="D9" s="3" t="s">
        <v>30</v>
      </c>
      <c r="E9" s="3" t="s">
        <v>31</v>
      </c>
      <c r="F9" s="3" t="s">
        <v>32</v>
      </c>
      <c r="G9" s="3">
        <v>5</v>
      </c>
      <c r="I9" s="2"/>
      <c r="J9" s="2"/>
      <c r="K9" s="2"/>
      <c r="L9" s="2"/>
      <c r="M9" s="2"/>
      <c r="N9" s="2"/>
      <c r="O9" s="2"/>
      <c r="P9" s="2"/>
      <c r="Q9" s="2"/>
      <c r="R9" s="2"/>
      <c r="S9" s="2"/>
      <c r="T9" s="2"/>
      <c r="U9" s="2"/>
      <c r="V9" s="2"/>
      <c r="W9" s="2"/>
      <c r="X9" s="2"/>
      <c r="Y9" s="2"/>
      <c r="Z9" s="2"/>
    </row>
    <row r="10" spans="1:26" x14ac:dyDescent="0.2">
      <c r="A10" s="1" t="s">
        <v>35</v>
      </c>
      <c r="B10" s="2"/>
      <c r="C10" s="2"/>
      <c r="D10" s="2"/>
      <c r="E10" s="2"/>
      <c r="F10" s="2"/>
      <c r="G10" s="2"/>
      <c r="I10" s="2"/>
      <c r="J10" s="2"/>
      <c r="K10" s="2"/>
      <c r="L10" s="2"/>
      <c r="M10" s="2"/>
      <c r="N10" s="2"/>
      <c r="O10" s="2"/>
      <c r="P10" s="2"/>
      <c r="Q10" s="2"/>
      <c r="R10" s="2"/>
      <c r="S10" s="2"/>
      <c r="T10" s="2"/>
      <c r="U10" s="2"/>
      <c r="V10" s="2"/>
      <c r="W10" s="2"/>
      <c r="X10" s="2"/>
      <c r="Y10" s="2"/>
      <c r="Z10" s="2"/>
    </row>
    <row r="11" spans="1:26" x14ac:dyDescent="0.2">
      <c r="A11" s="3" t="s">
        <v>36</v>
      </c>
      <c r="B11" s="2"/>
      <c r="C11" s="3" t="s">
        <v>37</v>
      </c>
      <c r="D11" s="3" t="s">
        <v>9</v>
      </c>
      <c r="E11" s="3" t="s">
        <v>9</v>
      </c>
      <c r="F11" s="2"/>
      <c r="G11" s="2"/>
      <c r="I11" s="2"/>
      <c r="J11" s="2"/>
      <c r="K11" s="2"/>
      <c r="L11" s="2"/>
      <c r="M11" s="2"/>
      <c r="N11" s="2"/>
      <c r="O11" s="2"/>
      <c r="P11" s="2"/>
      <c r="Q11" s="2"/>
      <c r="R11" s="2"/>
      <c r="S11" s="2"/>
      <c r="T11" s="2"/>
      <c r="U11" s="2"/>
      <c r="V11" s="2"/>
      <c r="W11" s="2"/>
      <c r="X11" s="2"/>
      <c r="Y11" s="2"/>
      <c r="Z11" s="2"/>
    </row>
    <row r="12" spans="1:26" x14ac:dyDescent="0.2">
      <c r="A12" s="3" t="s">
        <v>38</v>
      </c>
      <c r="B12" s="3" t="s">
        <v>39</v>
      </c>
      <c r="C12" s="3" t="s">
        <v>40</v>
      </c>
      <c r="D12" s="3" t="s">
        <v>41</v>
      </c>
      <c r="E12" s="3" t="s">
        <v>42</v>
      </c>
      <c r="F12" s="3" t="s">
        <v>43</v>
      </c>
      <c r="G12" s="3">
        <v>5</v>
      </c>
      <c r="I12" s="2"/>
      <c r="J12" s="2"/>
      <c r="K12" s="2"/>
      <c r="L12" s="2"/>
      <c r="M12" s="2"/>
      <c r="N12" s="2"/>
      <c r="O12" s="2"/>
      <c r="P12" s="2"/>
      <c r="Q12" s="2"/>
      <c r="R12" s="2"/>
      <c r="S12" s="2"/>
      <c r="T12" s="2"/>
      <c r="U12" s="2"/>
      <c r="V12" s="2"/>
      <c r="W12" s="2"/>
      <c r="X12" s="2"/>
      <c r="Y12" s="2"/>
      <c r="Z12" s="2"/>
    </row>
    <row r="13" spans="1:26" x14ac:dyDescent="0.2">
      <c r="A13" s="3" t="s">
        <v>44</v>
      </c>
      <c r="B13" s="3" t="s">
        <v>45</v>
      </c>
      <c r="C13" s="3" t="s">
        <v>46</v>
      </c>
      <c r="D13" s="3" t="s">
        <v>47</v>
      </c>
      <c r="E13" s="3" t="s">
        <v>48</v>
      </c>
      <c r="F13" s="3" t="s">
        <v>49</v>
      </c>
      <c r="G13" s="3">
        <v>5</v>
      </c>
      <c r="I13" s="2"/>
      <c r="J13" s="2"/>
      <c r="K13" s="2"/>
      <c r="L13" s="2"/>
      <c r="M13" s="2"/>
      <c r="N13" s="2"/>
      <c r="O13" s="2"/>
      <c r="P13" s="2"/>
      <c r="Q13" s="2"/>
      <c r="R13" s="2"/>
      <c r="S13" s="2"/>
      <c r="T13" s="2"/>
      <c r="U13" s="2"/>
      <c r="V13" s="2"/>
      <c r="W13" s="2"/>
      <c r="X13" s="2"/>
      <c r="Y13" s="2"/>
      <c r="Z13" s="2"/>
    </row>
    <row r="14" spans="1:26" x14ac:dyDescent="0.2">
      <c r="A14" s="3" t="s">
        <v>50</v>
      </c>
      <c r="B14" s="3" t="s">
        <v>51</v>
      </c>
      <c r="C14" s="3" t="s">
        <v>52</v>
      </c>
      <c r="D14" s="3" t="s">
        <v>53</v>
      </c>
      <c r="E14" s="3" t="s">
        <v>48</v>
      </c>
      <c r="F14" s="3" t="s">
        <v>54</v>
      </c>
      <c r="G14" s="3">
        <v>5</v>
      </c>
      <c r="I14" s="2"/>
      <c r="J14" s="2"/>
      <c r="K14" s="2"/>
      <c r="L14" s="2"/>
      <c r="M14" s="2"/>
      <c r="N14" s="2"/>
      <c r="O14" s="2"/>
      <c r="P14" s="2"/>
      <c r="Q14" s="2"/>
      <c r="R14" s="2"/>
      <c r="S14" s="2"/>
      <c r="T14" s="2"/>
      <c r="U14" s="2"/>
      <c r="V14" s="2"/>
      <c r="W14" s="2"/>
      <c r="X14" s="2"/>
      <c r="Y14" s="2"/>
      <c r="Z14" s="2"/>
    </row>
    <row r="15" spans="1:26" x14ac:dyDescent="0.2">
      <c r="A15" s="3" t="s">
        <v>55</v>
      </c>
      <c r="B15" s="3" t="s">
        <v>56</v>
      </c>
      <c r="C15" s="3" t="s">
        <v>57</v>
      </c>
      <c r="D15" s="3" t="s">
        <v>58</v>
      </c>
      <c r="E15" s="3" t="s">
        <v>59</v>
      </c>
      <c r="F15" s="3" t="s">
        <v>60</v>
      </c>
      <c r="G15" s="3">
        <v>3</v>
      </c>
      <c r="I15" s="2"/>
      <c r="J15" s="2"/>
      <c r="K15" s="2"/>
      <c r="L15" s="2"/>
      <c r="M15" s="2"/>
      <c r="N15" s="2"/>
      <c r="O15" s="2"/>
      <c r="P15" s="2"/>
      <c r="Q15" s="2"/>
      <c r="R15" s="2"/>
      <c r="S15" s="2"/>
      <c r="T15" s="2"/>
      <c r="U15" s="2"/>
      <c r="V15" s="2"/>
      <c r="W15" s="2"/>
      <c r="X15" s="2"/>
      <c r="Y15" s="2"/>
      <c r="Z15" s="2"/>
    </row>
    <row r="16" spans="1:26" x14ac:dyDescent="0.2">
      <c r="A16" s="3" t="s">
        <v>61</v>
      </c>
      <c r="B16" s="3" t="s">
        <v>51</v>
      </c>
      <c r="C16" s="3" t="s">
        <v>62</v>
      </c>
      <c r="D16" s="3" t="s">
        <v>53</v>
      </c>
      <c r="E16" s="3" t="s">
        <v>48</v>
      </c>
      <c r="F16" s="3" t="s">
        <v>54</v>
      </c>
      <c r="G16" s="3">
        <v>2</v>
      </c>
      <c r="I16" s="2"/>
      <c r="J16" s="2"/>
      <c r="K16" s="2"/>
      <c r="L16" s="2"/>
      <c r="M16" s="2"/>
      <c r="N16" s="2"/>
      <c r="O16" s="2"/>
      <c r="P16" s="2"/>
      <c r="Q16" s="2"/>
      <c r="R16" s="2"/>
      <c r="S16" s="2"/>
      <c r="T16" s="2"/>
      <c r="U16" s="2"/>
      <c r="V16" s="2"/>
      <c r="W16" s="2"/>
      <c r="X16" s="2"/>
      <c r="Y16" s="2"/>
      <c r="Z16" s="2"/>
    </row>
    <row r="17" spans="1:26" x14ac:dyDescent="0.2">
      <c r="A17" s="1" t="s">
        <v>35</v>
      </c>
      <c r="B17" s="2"/>
      <c r="C17" s="2"/>
      <c r="D17" s="2"/>
      <c r="E17" s="2"/>
      <c r="F17" s="2"/>
      <c r="G17" s="3" t="s">
        <v>143</v>
      </c>
      <c r="I17" s="2"/>
      <c r="J17" s="2"/>
      <c r="K17" s="2"/>
      <c r="L17" s="2"/>
      <c r="M17" s="2"/>
      <c r="N17" s="2"/>
      <c r="O17" s="2"/>
      <c r="P17" s="2"/>
      <c r="Q17" s="2"/>
      <c r="R17" s="2"/>
      <c r="S17" s="2"/>
      <c r="T17" s="2"/>
      <c r="U17" s="2"/>
      <c r="V17" s="2"/>
      <c r="W17" s="2"/>
      <c r="X17" s="2"/>
      <c r="Y17" s="2"/>
      <c r="Z17" s="2"/>
    </row>
    <row r="18" spans="1:26" x14ac:dyDescent="0.2">
      <c r="A18" s="3" t="s">
        <v>139</v>
      </c>
      <c r="B18" s="2"/>
      <c r="C18" s="3" t="s">
        <v>116</v>
      </c>
      <c r="D18" s="3" t="s">
        <v>9</v>
      </c>
      <c r="E18" s="3" t="s">
        <v>9</v>
      </c>
      <c r="F18" s="2"/>
      <c r="G18" s="2"/>
      <c r="I18" s="2"/>
      <c r="J18" s="2"/>
      <c r="K18" s="2"/>
      <c r="L18" s="2"/>
      <c r="M18" s="2"/>
      <c r="N18" s="2"/>
      <c r="O18" s="2"/>
      <c r="P18" s="2"/>
      <c r="Q18" s="2"/>
      <c r="R18" s="2"/>
      <c r="S18" s="2"/>
      <c r="T18" s="2"/>
      <c r="U18" s="2"/>
      <c r="V18" s="2"/>
      <c r="W18" s="2"/>
      <c r="X18" s="2"/>
      <c r="Y18" s="2"/>
      <c r="Z18" s="2"/>
    </row>
    <row r="19" spans="1:26" x14ac:dyDescent="0.2">
      <c r="A19" s="3" t="s">
        <v>117</v>
      </c>
      <c r="B19" s="3" t="s">
        <v>118</v>
      </c>
      <c r="C19" s="3" t="s">
        <v>119</v>
      </c>
      <c r="D19" s="3" t="s">
        <v>120</v>
      </c>
      <c r="E19" s="3" t="s">
        <v>76</v>
      </c>
      <c r="F19" s="3" t="s">
        <v>121</v>
      </c>
      <c r="G19" s="3">
        <v>5</v>
      </c>
      <c r="I19" s="2"/>
      <c r="J19" s="2"/>
      <c r="K19" s="2"/>
      <c r="L19" s="2"/>
      <c r="M19" s="2"/>
      <c r="N19" s="2"/>
      <c r="O19" s="2"/>
      <c r="P19" s="2"/>
      <c r="Q19" s="2"/>
      <c r="R19" s="2"/>
      <c r="S19" s="2"/>
      <c r="T19" s="2"/>
      <c r="U19" s="2"/>
      <c r="V19" s="2"/>
      <c r="W19" s="2"/>
      <c r="X19" s="2"/>
      <c r="Y19" s="2"/>
      <c r="Z19" s="2"/>
    </row>
    <row r="20" spans="1:26" x14ac:dyDescent="0.2">
      <c r="A20" s="3" t="s">
        <v>122</v>
      </c>
      <c r="B20" s="3" t="s">
        <v>99</v>
      </c>
      <c r="C20" s="3" t="s">
        <v>123</v>
      </c>
      <c r="D20" s="3" t="s">
        <v>101</v>
      </c>
      <c r="E20" s="3" t="s">
        <v>25</v>
      </c>
      <c r="F20" s="3" t="s">
        <v>121</v>
      </c>
      <c r="G20" s="3">
        <v>5</v>
      </c>
      <c r="I20" s="2"/>
      <c r="J20" s="2"/>
      <c r="K20" s="2"/>
      <c r="L20" s="2"/>
      <c r="M20" s="2"/>
      <c r="N20" s="2"/>
      <c r="O20" s="2"/>
      <c r="P20" s="2"/>
      <c r="Q20" s="2"/>
      <c r="R20" s="2"/>
      <c r="S20" s="2"/>
      <c r="T20" s="2"/>
      <c r="U20" s="2"/>
      <c r="V20" s="2"/>
      <c r="W20" s="2"/>
      <c r="X20" s="2"/>
      <c r="Y20" s="2"/>
      <c r="Z20" s="2"/>
    </row>
    <row r="21" spans="1:26" x14ac:dyDescent="0.2">
      <c r="A21" s="3" t="s">
        <v>124</v>
      </c>
      <c r="B21" s="3" t="s">
        <v>125</v>
      </c>
      <c r="C21" s="3" t="s">
        <v>126</v>
      </c>
      <c r="D21" s="3" t="s">
        <v>127</v>
      </c>
      <c r="E21" s="3" t="s">
        <v>76</v>
      </c>
      <c r="F21" s="3" t="s">
        <v>121</v>
      </c>
      <c r="G21" s="3">
        <v>2</v>
      </c>
      <c r="I21" s="2"/>
      <c r="J21" s="2"/>
      <c r="K21" s="2"/>
      <c r="L21" s="2"/>
      <c r="M21" s="2"/>
      <c r="N21" s="2"/>
      <c r="O21" s="2"/>
      <c r="P21" s="2"/>
      <c r="Q21" s="2"/>
      <c r="R21" s="2"/>
      <c r="S21" s="2"/>
      <c r="T21" s="2"/>
      <c r="U21" s="2"/>
      <c r="V21" s="2"/>
      <c r="W21" s="2"/>
      <c r="X21" s="2"/>
      <c r="Y21" s="2"/>
      <c r="Z21" s="2"/>
    </row>
    <row r="22" spans="1:26" x14ac:dyDescent="0.2">
      <c r="A22" s="3" t="s">
        <v>128</v>
      </c>
      <c r="B22" s="3" t="s">
        <v>99</v>
      </c>
      <c r="C22" s="3" t="s">
        <v>129</v>
      </c>
      <c r="D22" s="3" t="s">
        <v>101</v>
      </c>
      <c r="E22" s="3" t="s">
        <v>25</v>
      </c>
      <c r="F22" s="3" t="s">
        <v>102</v>
      </c>
      <c r="G22" s="3">
        <v>2</v>
      </c>
      <c r="I22" s="2"/>
      <c r="J22" s="2"/>
      <c r="K22" s="2"/>
      <c r="L22" s="2"/>
      <c r="M22" s="2"/>
      <c r="N22" s="2"/>
      <c r="O22" s="2"/>
      <c r="P22" s="2"/>
      <c r="Q22" s="2"/>
      <c r="R22" s="2"/>
      <c r="S22" s="2"/>
      <c r="T22" s="2"/>
      <c r="U22" s="2"/>
      <c r="V22" s="2"/>
      <c r="W22" s="2"/>
      <c r="X22" s="2"/>
      <c r="Y22" s="2"/>
      <c r="Z22" s="2"/>
    </row>
    <row r="23" spans="1:26" x14ac:dyDescent="0.2">
      <c r="A23" s="3" t="s">
        <v>130</v>
      </c>
      <c r="B23" s="3" t="s">
        <v>99</v>
      </c>
      <c r="C23" s="3" t="s">
        <v>131</v>
      </c>
      <c r="D23" s="3" t="s">
        <v>101</v>
      </c>
      <c r="E23" s="3" t="s">
        <v>25</v>
      </c>
      <c r="F23" s="3" t="s">
        <v>102</v>
      </c>
      <c r="G23" s="3">
        <v>3</v>
      </c>
      <c r="I23" s="2"/>
      <c r="J23" s="2"/>
      <c r="K23" s="2"/>
      <c r="L23" s="2"/>
      <c r="M23" s="2"/>
      <c r="N23" s="2"/>
      <c r="O23" s="2"/>
      <c r="P23" s="2"/>
      <c r="Q23" s="2"/>
      <c r="R23" s="2"/>
      <c r="S23" s="2"/>
      <c r="T23" s="2"/>
      <c r="U23" s="2"/>
      <c r="V23" s="2"/>
      <c r="W23" s="2"/>
      <c r="X23" s="2"/>
      <c r="Y23" s="2"/>
      <c r="Z23" s="2"/>
    </row>
    <row r="24" spans="1:26" x14ac:dyDescent="0.2">
      <c r="A24" s="3" t="s">
        <v>132</v>
      </c>
      <c r="B24" s="3" t="s">
        <v>133</v>
      </c>
      <c r="C24" s="3" t="s">
        <v>134</v>
      </c>
      <c r="D24" s="3">
        <v>2020</v>
      </c>
      <c r="E24" s="3" t="s">
        <v>76</v>
      </c>
      <c r="F24" s="4" t="s">
        <v>135</v>
      </c>
      <c r="G24" s="3">
        <v>5</v>
      </c>
      <c r="I24" s="2"/>
      <c r="J24" s="2"/>
      <c r="K24" s="2"/>
      <c r="L24" s="2"/>
      <c r="M24" s="2"/>
      <c r="N24" s="2"/>
      <c r="O24" s="2"/>
      <c r="P24" s="2"/>
      <c r="Q24" s="2"/>
      <c r="R24" s="2"/>
      <c r="S24" s="2"/>
      <c r="T24" s="2"/>
      <c r="U24" s="2"/>
      <c r="V24" s="2"/>
      <c r="W24" s="2"/>
      <c r="X24" s="2"/>
      <c r="Y24" s="2"/>
      <c r="Z24" s="2"/>
    </row>
    <row r="25" spans="1:26" x14ac:dyDescent="0.2">
      <c r="A25" s="1" t="s">
        <v>35</v>
      </c>
      <c r="B25" s="2"/>
      <c r="C25" s="2"/>
      <c r="D25" s="2"/>
      <c r="E25" s="2"/>
      <c r="F25" s="2"/>
      <c r="G25" s="3" t="s">
        <v>144</v>
      </c>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I26" s="2"/>
      <c r="J26" s="2"/>
      <c r="K26" s="2"/>
      <c r="L26" s="2"/>
      <c r="M26" s="2"/>
      <c r="N26" s="2"/>
      <c r="O26" s="2"/>
      <c r="P26" s="2"/>
      <c r="Q26" s="2"/>
      <c r="R26" s="2"/>
      <c r="S26" s="2"/>
      <c r="T26" s="2"/>
      <c r="U26" s="2"/>
      <c r="V26" s="2"/>
      <c r="W26" s="2"/>
      <c r="X26" s="2"/>
      <c r="Y26" s="2"/>
      <c r="Z26" s="2"/>
    </row>
    <row r="27" spans="1:26" x14ac:dyDescent="0.2">
      <c r="A27" s="3" t="s">
        <v>63</v>
      </c>
      <c r="B27" s="2"/>
      <c r="C27" s="3" t="s">
        <v>64</v>
      </c>
      <c r="D27" s="3" t="s">
        <v>9</v>
      </c>
      <c r="E27" s="3" t="s">
        <v>9</v>
      </c>
      <c r="F27" s="2"/>
      <c r="G27" s="2"/>
      <c r="I27" s="2"/>
      <c r="J27" s="2"/>
      <c r="K27" s="2"/>
      <c r="L27" s="2"/>
      <c r="M27" s="2"/>
      <c r="N27" s="2"/>
      <c r="O27" s="2"/>
      <c r="P27" s="2"/>
      <c r="Q27" s="2"/>
      <c r="R27" s="2"/>
      <c r="S27" s="2"/>
      <c r="T27" s="2"/>
      <c r="U27" s="2"/>
      <c r="V27" s="2"/>
      <c r="W27" s="2"/>
      <c r="X27" s="2"/>
      <c r="Y27" s="2"/>
      <c r="Z27" s="2"/>
    </row>
    <row r="28" spans="1:26" x14ac:dyDescent="0.2">
      <c r="A28" s="3" t="s">
        <v>65</v>
      </c>
      <c r="B28" s="2"/>
      <c r="C28" s="3" t="s">
        <v>66</v>
      </c>
      <c r="D28" s="3" t="s">
        <v>9</v>
      </c>
      <c r="E28" s="3" t="s">
        <v>9</v>
      </c>
      <c r="F28" s="2"/>
      <c r="G28" s="2"/>
      <c r="I28" s="2"/>
      <c r="J28" s="2"/>
      <c r="K28" s="2"/>
      <c r="L28" s="2"/>
      <c r="M28" s="2"/>
      <c r="N28" s="2"/>
      <c r="O28" s="2"/>
      <c r="P28" s="2"/>
      <c r="Q28" s="2"/>
      <c r="R28" s="2"/>
      <c r="S28" s="2"/>
      <c r="T28" s="2"/>
      <c r="U28" s="2"/>
      <c r="V28" s="2"/>
      <c r="W28" s="2"/>
      <c r="X28" s="2"/>
      <c r="Y28" s="2"/>
      <c r="Z28" s="2"/>
    </row>
    <row r="29" spans="1:26" x14ac:dyDescent="0.2">
      <c r="A29" s="3" t="s">
        <v>67</v>
      </c>
      <c r="B29" s="3" t="s">
        <v>68</v>
      </c>
      <c r="C29" s="3" t="s">
        <v>69</v>
      </c>
      <c r="D29" s="3">
        <v>2017</v>
      </c>
      <c r="E29" s="3" t="s">
        <v>70</v>
      </c>
      <c r="F29" s="3" t="s">
        <v>71</v>
      </c>
      <c r="G29" s="3">
        <v>4</v>
      </c>
      <c r="I29" s="2"/>
      <c r="J29" s="2"/>
      <c r="K29" s="2"/>
      <c r="L29" s="2"/>
      <c r="M29" s="2"/>
      <c r="N29" s="2"/>
      <c r="O29" s="2"/>
      <c r="P29" s="2"/>
      <c r="Q29" s="2"/>
      <c r="R29" s="2"/>
      <c r="S29" s="2"/>
      <c r="T29" s="2"/>
      <c r="U29" s="2"/>
      <c r="V29" s="2"/>
      <c r="W29" s="2"/>
      <c r="X29" s="2"/>
      <c r="Y29" s="2"/>
      <c r="Z29" s="2"/>
    </row>
    <row r="30" spans="1:26" x14ac:dyDescent="0.2">
      <c r="A30" s="3" t="s">
        <v>72</v>
      </c>
      <c r="B30" s="3" t="s">
        <v>73</v>
      </c>
      <c r="C30" s="3" t="s">
        <v>74</v>
      </c>
      <c r="D30" s="3" t="s">
        <v>75</v>
      </c>
      <c r="E30" s="3" t="s">
        <v>76</v>
      </c>
      <c r="F30" s="3" t="s">
        <v>77</v>
      </c>
      <c r="G30" s="3">
        <v>4</v>
      </c>
      <c r="I30" s="2"/>
      <c r="J30" s="2"/>
      <c r="K30" s="2"/>
      <c r="L30" s="2"/>
      <c r="M30" s="2"/>
      <c r="N30" s="2"/>
      <c r="O30" s="2"/>
      <c r="P30" s="2"/>
      <c r="Q30" s="2"/>
      <c r="R30" s="2"/>
      <c r="S30" s="2"/>
      <c r="T30" s="2"/>
      <c r="U30" s="2"/>
      <c r="V30" s="2"/>
      <c r="W30" s="2"/>
      <c r="X30" s="2"/>
      <c r="Y30" s="2"/>
      <c r="Z30" s="2"/>
    </row>
    <row r="31" spans="1:26" x14ac:dyDescent="0.2">
      <c r="A31" s="3" t="s">
        <v>78</v>
      </c>
      <c r="B31" s="3" t="s">
        <v>79</v>
      </c>
      <c r="C31" s="3" t="s">
        <v>80</v>
      </c>
      <c r="D31" s="3" t="s">
        <v>81</v>
      </c>
      <c r="E31" s="3" t="s">
        <v>76</v>
      </c>
      <c r="F31" s="3" t="s">
        <v>82</v>
      </c>
      <c r="G31" s="3">
        <v>5</v>
      </c>
      <c r="I31" s="2"/>
      <c r="J31" s="2"/>
      <c r="K31" s="2"/>
      <c r="L31" s="2"/>
      <c r="M31" s="2"/>
      <c r="N31" s="2"/>
      <c r="O31" s="2"/>
      <c r="P31" s="2"/>
      <c r="Q31" s="2"/>
      <c r="R31" s="2"/>
      <c r="S31" s="2"/>
      <c r="T31" s="2"/>
      <c r="U31" s="2"/>
      <c r="V31" s="2"/>
      <c r="W31" s="2"/>
      <c r="X31" s="2"/>
      <c r="Y31" s="2"/>
      <c r="Z31" s="2"/>
    </row>
    <row r="32" spans="1:26" x14ac:dyDescent="0.2">
      <c r="A32" s="3" t="s">
        <v>83</v>
      </c>
      <c r="B32" s="3" t="s">
        <v>84</v>
      </c>
      <c r="C32" s="3" t="s">
        <v>85</v>
      </c>
      <c r="D32" s="3" t="s">
        <v>86</v>
      </c>
      <c r="E32" s="3" t="s">
        <v>76</v>
      </c>
      <c r="F32" s="3" t="s">
        <v>87</v>
      </c>
      <c r="G32" s="3">
        <v>5</v>
      </c>
      <c r="I32" s="2"/>
      <c r="J32" s="2"/>
      <c r="K32" s="2"/>
      <c r="L32" s="2"/>
      <c r="M32" s="2"/>
      <c r="N32" s="2"/>
      <c r="O32" s="2"/>
      <c r="P32" s="2"/>
      <c r="Q32" s="2"/>
      <c r="R32" s="2"/>
      <c r="S32" s="2"/>
      <c r="T32" s="2"/>
      <c r="U32" s="2"/>
      <c r="V32" s="2"/>
      <c r="W32" s="2"/>
      <c r="X32" s="2"/>
      <c r="Y32" s="2"/>
      <c r="Z32" s="2"/>
    </row>
    <row r="33" spans="1:26" x14ac:dyDescent="0.2">
      <c r="A33" s="3" t="s">
        <v>88</v>
      </c>
      <c r="B33" s="3" t="s">
        <v>89</v>
      </c>
      <c r="C33" s="3" t="s">
        <v>90</v>
      </c>
      <c r="D33" s="3" t="s">
        <v>81</v>
      </c>
      <c r="E33" s="3" t="s">
        <v>91</v>
      </c>
      <c r="F33" s="3" t="s">
        <v>92</v>
      </c>
      <c r="G33" s="3">
        <v>5</v>
      </c>
      <c r="I33" s="2"/>
      <c r="J33" s="2"/>
      <c r="K33" s="2"/>
      <c r="L33" s="2"/>
      <c r="M33" s="2"/>
      <c r="N33" s="2"/>
      <c r="O33" s="2"/>
      <c r="P33" s="2"/>
      <c r="Q33" s="2"/>
      <c r="R33" s="2"/>
      <c r="S33" s="2"/>
      <c r="T33" s="2"/>
      <c r="U33" s="2"/>
      <c r="V33" s="2"/>
      <c r="W33" s="2"/>
      <c r="X33" s="2"/>
      <c r="Y33" s="2"/>
      <c r="Z33" s="2"/>
    </row>
    <row r="34" spans="1:26" x14ac:dyDescent="0.2">
      <c r="A34" s="3" t="s">
        <v>93</v>
      </c>
      <c r="B34" s="3" t="s">
        <v>94</v>
      </c>
      <c r="C34" s="3" t="s">
        <v>95</v>
      </c>
      <c r="D34" s="3" t="s">
        <v>96</v>
      </c>
      <c r="E34" s="3" t="s">
        <v>91</v>
      </c>
      <c r="F34" s="3" t="s">
        <v>97</v>
      </c>
      <c r="G34" s="3">
        <v>5</v>
      </c>
      <c r="I34" s="2"/>
      <c r="J34" s="2"/>
      <c r="K34" s="2"/>
      <c r="L34" s="2"/>
      <c r="M34" s="2"/>
      <c r="N34" s="2"/>
      <c r="O34" s="2"/>
      <c r="P34" s="2"/>
      <c r="Q34" s="2"/>
      <c r="R34" s="2"/>
      <c r="S34" s="2"/>
      <c r="T34" s="2"/>
      <c r="U34" s="2"/>
      <c r="V34" s="2"/>
      <c r="W34" s="2"/>
      <c r="X34" s="2"/>
      <c r="Y34" s="2"/>
      <c r="Z34" s="2"/>
    </row>
    <row r="35" spans="1:26" x14ac:dyDescent="0.2">
      <c r="A35" s="3" t="s">
        <v>98</v>
      </c>
      <c r="B35" s="3" t="s">
        <v>99</v>
      </c>
      <c r="C35" s="3" t="s">
        <v>100</v>
      </c>
      <c r="D35" s="3" t="s">
        <v>101</v>
      </c>
      <c r="E35" s="3" t="s">
        <v>25</v>
      </c>
      <c r="F35" s="3" t="s">
        <v>102</v>
      </c>
      <c r="G35" s="3">
        <v>3</v>
      </c>
      <c r="I35" s="2"/>
      <c r="J35" s="2"/>
      <c r="K35" s="2"/>
      <c r="L35" s="2"/>
      <c r="M35" s="2"/>
      <c r="N35" s="2"/>
      <c r="O35" s="2"/>
      <c r="P35" s="2"/>
      <c r="Q35" s="2"/>
      <c r="R35" s="2"/>
      <c r="S35" s="2"/>
      <c r="T35" s="2"/>
      <c r="U35" s="2"/>
      <c r="V35" s="2"/>
      <c r="W35" s="2"/>
      <c r="X35" s="2"/>
      <c r="Y35" s="2"/>
      <c r="Z35" s="2"/>
    </row>
    <row r="36" spans="1:26" x14ac:dyDescent="0.2">
      <c r="A36" s="1" t="s">
        <v>35</v>
      </c>
      <c r="B36" s="2"/>
      <c r="C36" s="2"/>
      <c r="D36" s="2"/>
      <c r="E36" s="2"/>
      <c r="F36" s="2"/>
      <c r="G36" s="3" t="s">
        <v>145</v>
      </c>
      <c r="I36" s="2"/>
      <c r="J36" s="2"/>
      <c r="K36" s="2"/>
      <c r="L36" s="2"/>
      <c r="M36" s="2"/>
      <c r="N36" s="2"/>
      <c r="O36" s="2"/>
      <c r="P36" s="2"/>
      <c r="Q36" s="2"/>
      <c r="R36" s="2"/>
      <c r="S36" s="2"/>
      <c r="T36" s="2"/>
      <c r="U36" s="2"/>
      <c r="V36" s="2"/>
      <c r="W36" s="2"/>
      <c r="X36" s="2"/>
      <c r="Y36" s="2"/>
      <c r="Z36" s="2"/>
    </row>
    <row r="37" spans="1:26" x14ac:dyDescent="0.2">
      <c r="A37" s="3" t="s">
        <v>103</v>
      </c>
      <c r="B37" s="2"/>
      <c r="C37" s="3" t="s">
        <v>104</v>
      </c>
      <c r="D37" s="3" t="s">
        <v>9</v>
      </c>
      <c r="E37" s="3" t="s">
        <v>9</v>
      </c>
      <c r="F37" s="2"/>
      <c r="G37" s="2"/>
      <c r="I37" s="2"/>
      <c r="J37" s="2"/>
      <c r="K37" s="2"/>
      <c r="L37" s="2"/>
      <c r="M37" s="2"/>
      <c r="N37" s="2"/>
      <c r="O37" s="2"/>
      <c r="P37" s="2"/>
      <c r="Q37" s="2"/>
      <c r="R37" s="2"/>
      <c r="S37" s="2"/>
      <c r="T37" s="2"/>
      <c r="U37" s="2"/>
      <c r="V37" s="2"/>
      <c r="W37" s="2"/>
      <c r="X37" s="2"/>
      <c r="Y37" s="2"/>
      <c r="Z37" s="2"/>
    </row>
    <row r="38" spans="1:26" x14ac:dyDescent="0.2">
      <c r="A38" s="3" t="s">
        <v>105</v>
      </c>
      <c r="B38" s="3" t="s">
        <v>106</v>
      </c>
      <c r="C38" s="3" t="s">
        <v>107</v>
      </c>
      <c r="D38" s="3" t="s">
        <v>108</v>
      </c>
      <c r="E38" s="3" t="s">
        <v>109</v>
      </c>
      <c r="F38" s="2"/>
      <c r="G38" s="3">
        <v>3</v>
      </c>
      <c r="I38" s="2"/>
      <c r="J38" s="2"/>
      <c r="K38" s="2"/>
      <c r="L38" s="2"/>
      <c r="M38" s="2"/>
      <c r="N38" s="2"/>
      <c r="O38" s="2"/>
      <c r="P38" s="2"/>
      <c r="Q38" s="2"/>
      <c r="R38" s="2"/>
      <c r="S38" s="2"/>
      <c r="T38" s="2"/>
      <c r="U38" s="2"/>
      <c r="V38" s="2"/>
      <c r="W38" s="2"/>
      <c r="X38" s="2"/>
      <c r="Y38" s="2"/>
      <c r="Z38" s="2"/>
    </row>
    <row r="39" spans="1:26" x14ac:dyDescent="0.2">
      <c r="A39" s="3" t="s">
        <v>110</v>
      </c>
      <c r="B39" s="3" t="s">
        <v>106</v>
      </c>
      <c r="C39" s="3" t="s">
        <v>111</v>
      </c>
      <c r="D39" s="3" t="s">
        <v>108</v>
      </c>
      <c r="E39" s="3" t="s">
        <v>112</v>
      </c>
      <c r="F39" s="2"/>
      <c r="G39" s="3">
        <v>5</v>
      </c>
      <c r="I39" s="2"/>
      <c r="J39" s="2"/>
      <c r="K39" s="2"/>
      <c r="L39" s="2"/>
      <c r="M39" s="2"/>
      <c r="N39" s="2"/>
      <c r="O39" s="2"/>
      <c r="P39" s="2"/>
      <c r="Q39" s="2"/>
      <c r="R39" s="2"/>
      <c r="S39" s="2"/>
      <c r="T39" s="2"/>
      <c r="U39" s="2"/>
      <c r="V39" s="2"/>
      <c r="W39" s="2"/>
      <c r="X39" s="2"/>
      <c r="Y39" s="2"/>
      <c r="Z39" s="2"/>
    </row>
    <row r="40" spans="1:26" x14ac:dyDescent="0.2">
      <c r="A40" s="3" t="s">
        <v>113</v>
      </c>
      <c r="B40" s="3" t="s">
        <v>106</v>
      </c>
      <c r="C40" s="3" t="s">
        <v>114</v>
      </c>
      <c r="D40" s="3" t="s">
        <v>108</v>
      </c>
      <c r="E40" s="3" t="s">
        <v>115</v>
      </c>
      <c r="F40" s="2"/>
      <c r="G40" s="3">
        <v>3</v>
      </c>
      <c r="I40" s="2"/>
      <c r="J40" s="2"/>
      <c r="K40" s="2"/>
      <c r="L40" s="2"/>
      <c r="M40" s="2"/>
      <c r="N40" s="2"/>
      <c r="O40" s="2"/>
      <c r="P40" s="2"/>
      <c r="Q40" s="2"/>
      <c r="R40" s="2"/>
      <c r="S40" s="2"/>
      <c r="T40" s="2"/>
      <c r="U40" s="2"/>
      <c r="V40" s="2"/>
      <c r="W40" s="2"/>
      <c r="X40" s="2"/>
      <c r="Y40" s="2"/>
      <c r="Z40" s="2"/>
    </row>
    <row r="41" spans="1:26" x14ac:dyDescent="0.2">
      <c r="A41" s="1" t="s">
        <v>35</v>
      </c>
      <c r="B41" s="2"/>
      <c r="C41" s="2"/>
      <c r="D41" s="2"/>
      <c r="E41" s="2"/>
      <c r="F41" s="2"/>
      <c r="G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ef="F24" r:id="rId1" xr:uid="{A273986E-300C-044A-A9C3-F4AD66785E2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36E3-EB41-344E-8D40-426B4D142ACD}">
  <dimension ref="A1:Z1000"/>
  <sheetViews>
    <sheetView workbookViewId="0">
      <selection activeCell="L69" sqref="L69"/>
    </sheetView>
  </sheetViews>
  <sheetFormatPr baseColWidth="10" defaultRowHeight="16" x14ac:dyDescent="0.2"/>
  <cols>
    <col min="1" max="1" width="44.6640625" bestFit="1" customWidth="1"/>
  </cols>
  <sheetData>
    <row r="1" spans="1:26" x14ac:dyDescent="0.2">
      <c r="A1" s="1" t="s">
        <v>0</v>
      </c>
      <c r="B1" s="1" t="s">
        <v>1</v>
      </c>
      <c r="C1" s="1" t="s">
        <v>2</v>
      </c>
      <c r="D1" s="1" t="s">
        <v>3</v>
      </c>
      <c r="E1" s="1" t="s">
        <v>4</v>
      </c>
      <c r="F1" s="1" t="s">
        <v>5</v>
      </c>
      <c r="G1" s="1" t="s">
        <v>6</v>
      </c>
      <c r="H1" s="2"/>
      <c r="I1" s="1" t="s">
        <v>136</v>
      </c>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3" t="s">
        <v>7</v>
      </c>
      <c r="B3" s="2"/>
      <c r="C3" s="3" t="s">
        <v>8</v>
      </c>
      <c r="D3" s="3" t="s">
        <v>9</v>
      </c>
      <c r="E3" s="3" t="s">
        <v>9</v>
      </c>
      <c r="F3" s="2"/>
      <c r="G3" s="3" t="s">
        <v>9</v>
      </c>
      <c r="H3" s="2"/>
      <c r="I3" s="2"/>
      <c r="J3" s="2"/>
      <c r="K3" s="2"/>
      <c r="L3" s="2"/>
      <c r="M3" s="2"/>
      <c r="N3" s="2"/>
      <c r="O3" s="2"/>
      <c r="P3" s="2"/>
      <c r="Q3" s="2"/>
      <c r="R3" s="2"/>
      <c r="S3" s="2"/>
      <c r="T3" s="2"/>
      <c r="U3" s="2"/>
      <c r="V3" s="2"/>
      <c r="W3" s="2"/>
      <c r="X3" s="2"/>
      <c r="Y3" s="2"/>
      <c r="Z3" s="2"/>
    </row>
    <row r="4" spans="1:26" x14ac:dyDescent="0.2">
      <c r="A4" s="3" t="s">
        <v>10</v>
      </c>
      <c r="B4" s="2"/>
      <c r="C4" s="3" t="s">
        <v>11</v>
      </c>
      <c r="D4" s="3" t="s">
        <v>9</v>
      </c>
      <c r="E4" s="3" t="s">
        <v>9</v>
      </c>
      <c r="F4" s="2"/>
      <c r="G4" s="3" t="s">
        <v>9</v>
      </c>
      <c r="H4" s="2"/>
      <c r="I4" s="2"/>
      <c r="J4" s="2"/>
      <c r="K4" s="2"/>
      <c r="L4" s="2"/>
      <c r="M4" s="2"/>
      <c r="N4" s="2"/>
      <c r="O4" s="2"/>
      <c r="P4" s="2"/>
      <c r="Q4" s="2"/>
      <c r="R4" s="2"/>
      <c r="S4" s="2"/>
      <c r="T4" s="2"/>
      <c r="U4" s="2"/>
      <c r="V4" s="2"/>
      <c r="W4" s="2"/>
      <c r="X4" s="2"/>
      <c r="Y4" s="2"/>
      <c r="Z4" s="2"/>
    </row>
    <row r="5" spans="1:26" x14ac:dyDescent="0.2">
      <c r="A5" s="3" t="s">
        <v>12</v>
      </c>
      <c r="B5" s="3" t="s">
        <v>13</v>
      </c>
      <c r="C5" s="3" t="s">
        <v>14</v>
      </c>
      <c r="D5" s="3" t="s">
        <v>15</v>
      </c>
      <c r="E5" s="3" t="s">
        <v>16</v>
      </c>
      <c r="F5" s="3" t="s">
        <v>17</v>
      </c>
      <c r="G5" s="3">
        <v>3</v>
      </c>
      <c r="H5" s="2"/>
      <c r="I5" s="2"/>
      <c r="J5" s="2"/>
      <c r="K5" s="2"/>
      <c r="L5" s="2"/>
      <c r="M5" s="2"/>
      <c r="N5" s="2"/>
      <c r="O5" s="2"/>
      <c r="P5" s="2"/>
      <c r="Q5" s="2"/>
      <c r="R5" s="2"/>
      <c r="S5" s="2"/>
      <c r="T5" s="2"/>
      <c r="U5" s="2"/>
      <c r="V5" s="2"/>
      <c r="W5" s="2"/>
      <c r="X5" s="2"/>
      <c r="Y5" s="2"/>
      <c r="Z5" s="2"/>
    </row>
    <row r="6" spans="1:26" x14ac:dyDescent="0.2">
      <c r="A6" s="3" t="s">
        <v>19</v>
      </c>
      <c r="B6" s="3" t="s">
        <v>13</v>
      </c>
      <c r="C6" s="3" t="s">
        <v>20</v>
      </c>
      <c r="D6" s="3" t="s">
        <v>15</v>
      </c>
      <c r="E6" s="3" t="s">
        <v>16</v>
      </c>
      <c r="F6" s="3" t="s">
        <v>17</v>
      </c>
      <c r="G6" s="3">
        <v>2</v>
      </c>
      <c r="H6" s="2"/>
      <c r="I6" s="2"/>
      <c r="J6" s="2"/>
      <c r="K6" s="2"/>
      <c r="L6" s="2"/>
      <c r="M6" s="2"/>
      <c r="N6" s="2"/>
      <c r="O6" s="2"/>
      <c r="P6" s="2"/>
      <c r="Q6" s="2"/>
      <c r="R6" s="2"/>
      <c r="S6" s="2"/>
      <c r="T6" s="2"/>
      <c r="U6" s="2"/>
      <c r="V6" s="2"/>
      <c r="W6" s="2"/>
      <c r="X6" s="2"/>
      <c r="Y6" s="2"/>
      <c r="Z6" s="2"/>
    </row>
    <row r="7" spans="1:26" x14ac:dyDescent="0.2">
      <c r="A7" s="3" t="s">
        <v>21</v>
      </c>
      <c r="B7" s="3" t="s">
        <v>22</v>
      </c>
      <c r="C7" s="3" t="s">
        <v>23</v>
      </c>
      <c r="D7" s="3" t="s">
        <v>24</v>
      </c>
      <c r="E7" s="3" t="s">
        <v>25</v>
      </c>
      <c r="F7" s="3" t="s">
        <v>26</v>
      </c>
      <c r="G7" s="3">
        <v>4</v>
      </c>
      <c r="H7" s="2"/>
      <c r="I7" s="2"/>
      <c r="J7" s="2"/>
      <c r="K7" s="2"/>
      <c r="L7" s="2"/>
      <c r="M7" s="2"/>
      <c r="N7" s="2"/>
      <c r="O7" s="2"/>
      <c r="P7" s="2"/>
      <c r="Q7" s="2"/>
      <c r="R7" s="2"/>
      <c r="S7" s="2"/>
      <c r="T7" s="2"/>
      <c r="U7" s="2"/>
      <c r="V7" s="2"/>
      <c r="W7" s="2"/>
      <c r="X7" s="2"/>
      <c r="Y7" s="2"/>
      <c r="Z7" s="2"/>
    </row>
    <row r="8" spans="1:26" x14ac:dyDescent="0.2">
      <c r="A8" s="3" t="s">
        <v>27</v>
      </c>
      <c r="B8" s="3" t="s">
        <v>28</v>
      </c>
      <c r="C8" s="3" t="s">
        <v>29</v>
      </c>
      <c r="D8" s="3" t="s">
        <v>30</v>
      </c>
      <c r="E8" s="3" t="s">
        <v>31</v>
      </c>
      <c r="F8" s="3" t="s">
        <v>32</v>
      </c>
      <c r="G8" s="3">
        <v>3</v>
      </c>
      <c r="H8" s="3" t="s">
        <v>146</v>
      </c>
      <c r="I8" s="2"/>
      <c r="J8" s="2"/>
      <c r="K8" s="2"/>
      <c r="L8" s="2"/>
      <c r="M8" s="2"/>
      <c r="N8" s="2"/>
      <c r="O8" s="2"/>
      <c r="P8" s="2"/>
      <c r="Q8" s="2"/>
      <c r="R8" s="2"/>
      <c r="S8" s="2"/>
      <c r="T8" s="2"/>
      <c r="U8" s="2"/>
      <c r="V8" s="2"/>
      <c r="W8" s="2"/>
      <c r="X8" s="2"/>
      <c r="Y8" s="2"/>
      <c r="Z8" s="2"/>
    </row>
    <row r="9" spans="1:26" x14ac:dyDescent="0.2">
      <c r="A9" s="3" t="s">
        <v>33</v>
      </c>
      <c r="B9" s="3" t="s">
        <v>28</v>
      </c>
      <c r="C9" s="3" t="s">
        <v>34</v>
      </c>
      <c r="D9" s="3" t="s">
        <v>30</v>
      </c>
      <c r="E9" s="3" t="s">
        <v>31</v>
      </c>
      <c r="F9" s="3" t="s">
        <v>32</v>
      </c>
      <c r="G9" s="3">
        <v>5</v>
      </c>
      <c r="H9" s="2"/>
      <c r="I9" s="2"/>
      <c r="J9" s="2"/>
      <c r="K9" s="2"/>
      <c r="L9" s="2"/>
      <c r="M9" s="2"/>
      <c r="N9" s="2"/>
      <c r="O9" s="2"/>
      <c r="P9" s="2"/>
      <c r="Q9" s="2"/>
      <c r="R9" s="2"/>
      <c r="S9" s="2"/>
      <c r="T9" s="2"/>
      <c r="U9" s="2"/>
      <c r="V9" s="2"/>
      <c r="W9" s="2"/>
      <c r="X9" s="2"/>
      <c r="Y9" s="2"/>
      <c r="Z9" s="2"/>
    </row>
    <row r="10" spans="1:26" x14ac:dyDescent="0.2">
      <c r="A10" s="1" t="s">
        <v>35</v>
      </c>
      <c r="B10" s="2"/>
      <c r="C10" s="2"/>
      <c r="D10" s="2"/>
      <c r="E10" s="2"/>
      <c r="F10" s="2"/>
      <c r="G10" s="3" t="s">
        <v>18</v>
      </c>
      <c r="H10" s="2"/>
      <c r="I10" s="2"/>
      <c r="J10" s="2"/>
      <c r="K10" s="2"/>
      <c r="L10" s="2"/>
      <c r="M10" s="2"/>
      <c r="N10" s="2"/>
      <c r="O10" s="2"/>
      <c r="P10" s="2"/>
      <c r="Q10" s="2"/>
      <c r="R10" s="2"/>
      <c r="S10" s="2"/>
      <c r="T10" s="2"/>
      <c r="U10" s="2"/>
      <c r="V10" s="2"/>
      <c r="W10" s="2"/>
      <c r="X10" s="2"/>
      <c r="Y10" s="2"/>
      <c r="Z10" s="2"/>
    </row>
    <row r="11" spans="1:26" x14ac:dyDescent="0.2">
      <c r="A11" s="3" t="s">
        <v>36</v>
      </c>
      <c r="B11" s="2"/>
      <c r="C11" s="3" t="s">
        <v>37</v>
      </c>
      <c r="D11" s="3" t="s">
        <v>9</v>
      </c>
      <c r="E11" s="3" t="s">
        <v>9</v>
      </c>
      <c r="F11" s="2"/>
      <c r="G11" s="3" t="s">
        <v>9</v>
      </c>
      <c r="H11" s="2"/>
      <c r="I11" s="2"/>
      <c r="J11" s="2"/>
      <c r="K11" s="2"/>
      <c r="L11" s="2"/>
      <c r="M11" s="2"/>
      <c r="N11" s="2"/>
      <c r="O11" s="2"/>
      <c r="P11" s="2"/>
      <c r="Q11" s="2"/>
      <c r="R11" s="2"/>
      <c r="S11" s="2"/>
      <c r="T11" s="2"/>
      <c r="U11" s="2"/>
      <c r="V11" s="2"/>
      <c r="W11" s="2"/>
      <c r="X11" s="2"/>
      <c r="Y11" s="2"/>
      <c r="Z11" s="2"/>
    </row>
    <row r="12" spans="1:26" x14ac:dyDescent="0.2">
      <c r="A12" s="3" t="s">
        <v>38</v>
      </c>
      <c r="B12" s="3" t="s">
        <v>39</v>
      </c>
      <c r="C12" s="3" t="s">
        <v>40</v>
      </c>
      <c r="D12" s="3" t="s">
        <v>41</v>
      </c>
      <c r="E12" s="3" t="s">
        <v>42</v>
      </c>
      <c r="F12" s="3" t="s">
        <v>43</v>
      </c>
      <c r="G12" s="3">
        <v>3</v>
      </c>
      <c r="H12" s="2"/>
      <c r="I12" s="2"/>
      <c r="J12" s="2"/>
      <c r="K12" s="2"/>
      <c r="L12" s="2"/>
      <c r="M12" s="2"/>
      <c r="N12" s="2"/>
      <c r="O12" s="2"/>
      <c r="P12" s="2"/>
      <c r="Q12" s="2"/>
      <c r="R12" s="2"/>
      <c r="S12" s="2"/>
      <c r="T12" s="2"/>
      <c r="U12" s="2"/>
      <c r="V12" s="2"/>
      <c r="W12" s="2"/>
      <c r="X12" s="2"/>
      <c r="Y12" s="2"/>
      <c r="Z12" s="2"/>
    </row>
    <row r="13" spans="1:26" x14ac:dyDescent="0.2">
      <c r="A13" s="3" t="s">
        <v>44</v>
      </c>
      <c r="B13" s="3" t="s">
        <v>45</v>
      </c>
      <c r="C13" s="3" t="s">
        <v>46</v>
      </c>
      <c r="D13" s="3" t="s">
        <v>47</v>
      </c>
      <c r="E13" s="3" t="s">
        <v>48</v>
      </c>
      <c r="F13" s="3" t="s">
        <v>49</v>
      </c>
      <c r="G13" s="3">
        <v>5</v>
      </c>
      <c r="H13" s="2"/>
      <c r="I13" s="2"/>
      <c r="J13" s="2"/>
      <c r="K13" s="2"/>
      <c r="L13" s="2"/>
      <c r="M13" s="2"/>
      <c r="N13" s="2"/>
      <c r="O13" s="2"/>
      <c r="P13" s="2"/>
      <c r="Q13" s="2"/>
      <c r="R13" s="2"/>
      <c r="S13" s="2"/>
      <c r="T13" s="2"/>
      <c r="U13" s="2"/>
      <c r="V13" s="2"/>
      <c r="W13" s="2"/>
      <c r="X13" s="2"/>
      <c r="Y13" s="2"/>
      <c r="Z13" s="2"/>
    </row>
    <row r="14" spans="1:26" x14ac:dyDescent="0.2">
      <c r="A14" s="3" t="s">
        <v>50</v>
      </c>
      <c r="B14" s="3" t="s">
        <v>51</v>
      </c>
      <c r="C14" s="3" t="s">
        <v>52</v>
      </c>
      <c r="D14" s="3" t="s">
        <v>53</v>
      </c>
      <c r="E14" s="3" t="s">
        <v>48</v>
      </c>
      <c r="F14" s="3" t="s">
        <v>54</v>
      </c>
      <c r="G14" s="3">
        <v>4</v>
      </c>
      <c r="H14" s="2"/>
      <c r="I14" s="2"/>
      <c r="J14" s="2"/>
      <c r="K14" s="2"/>
      <c r="L14" s="2"/>
      <c r="M14" s="2"/>
      <c r="N14" s="2"/>
      <c r="O14" s="2"/>
      <c r="P14" s="2"/>
      <c r="Q14" s="2"/>
      <c r="R14" s="2"/>
      <c r="S14" s="2"/>
      <c r="T14" s="2"/>
      <c r="U14" s="2"/>
      <c r="V14" s="2"/>
      <c r="W14" s="2"/>
      <c r="X14" s="2"/>
      <c r="Y14" s="2"/>
      <c r="Z14" s="2"/>
    </row>
    <row r="15" spans="1:26" x14ac:dyDescent="0.2">
      <c r="A15" s="3" t="s">
        <v>55</v>
      </c>
      <c r="B15" s="3" t="s">
        <v>56</v>
      </c>
      <c r="C15" s="3" t="s">
        <v>57</v>
      </c>
      <c r="D15" s="3" t="s">
        <v>58</v>
      </c>
      <c r="E15" s="3" t="s">
        <v>59</v>
      </c>
      <c r="F15" s="3" t="s">
        <v>60</v>
      </c>
      <c r="G15" s="3">
        <v>4</v>
      </c>
      <c r="H15" s="2"/>
      <c r="I15" s="2"/>
      <c r="J15" s="2"/>
      <c r="K15" s="2"/>
      <c r="L15" s="2"/>
      <c r="M15" s="2"/>
      <c r="N15" s="2"/>
      <c r="O15" s="2"/>
      <c r="P15" s="2"/>
      <c r="Q15" s="2"/>
      <c r="R15" s="2"/>
      <c r="S15" s="2"/>
      <c r="T15" s="2"/>
      <c r="U15" s="2"/>
      <c r="V15" s="2"/>
      <c r="W15" s="2"/>
      <c r="X15" s="2"/>
      <c r="Y15" s="2"/>
      <c r="Z15" s="2"/>
    </row>
    <row r="16" spans="1:26" x14ac:dyDescent="0.2">
      <c r="A16" s="3" t="s">
        <v>61</v>
      </c>
      <c r="B16" s="3" t="s">
        <v>51</v>
      </c>
      <c r="C16" s="3" t="s">
        <v>62</v>
      </c>
      <c r="D16" s="3" t="s">
        <v>53</v>
      </c>
      <c r="E16" s="3" t="s">
        <v>48</v>
      </c>
      <c r="F16" s="3" t="s">
        <v>54</v>
      </c>
      <c r="G16" s="3">
        <v>4</v>
      </c>
      <c r="H16" s="2"/>
      <c r="I16" s="2"/>
      <c r="J16" s="2"/>
      <c r="K16" s="2"/>
      <c r="L16" s="2"/>
      <c r="M16" s="2"/>
      <c r="N16" s="2"/>
      <c r="O16" s="2"/>
      <c r="P16" s="2"/>
      <c r="Q16" s="2"/>
      <c r="R16" s="2"/>
      <c r="S16" s="2"/>
      <c r="T16" s="2"/>
      <c r="U16" s="2"/>
      <c r="V16" s="2"/>
      <c r="W16" s="2"/>
      <c r="X16" s="2"/>
      <c r="Y16" s="2"/>
      <c r="Z16" s="2"/>
    </row>
    <row r="17" spans="1:26" x14ac:dyDescent="0.2">
      <c r="A17" s="1" t="s">
        <v>35</v>
      </c>
      <c r="B17" s="2"/>
      <c r="C17" s="2"/>
      <c r="D17" s="2"/>
      <c r="E17" s="2"/>
      <c r="F17" s="2"/>
      <c r="G17" s="3" t="s">
        <v>18</v>
      </c>
      <c r="H17" s="2"/>
      <c r="I17" s="2"/>
      <c r="J17" s="2"/>
      <c r="K17" s="2"/>
      <c r="L17" s="2"/>
      <c r="M17" s="2"/>
      <c r="N17" s="2"/>
      <c r="O17" s="2"/>
      <c r="P17" s="2"/>
      <c r="Q17" s="2"/>
      <c r="R17" s="2"/>
      <c r="S17" s="2"/>
      <c r="T17" s="2"/>
      <c r="U17" s="2"/>
      <c r="V17" s="2"/>
      <c r="W17" s="2"/>
      <c r="X17" s="2"/>
      <c r="Y17" s="2"/>
      <c r="Z17" s="2"/>
    </row>
    <row r="18" spans="1:26" x14ac:dyDescent="0.2">
      <c r="A18" s="3" t="s">
        <v>139</v>
      </c>
      <c r="B18" s="2"/>
      <c r="C18" s="3" t="s">
        <v>116</v>
      </c>
      <c r="D18" s="3" t="s">
        <v>9</v>
      </c>
      <c r="E18" s="3" t="s">
        <v>9</v>
      </c>
      <c r="F18" s="2"/>
      <c r="G18" s="3" t="s">
        <v>9</v>
      </c>
      <c r="H18" s="2"/>
      <c r="I18" s="2"/>
      <c r="J18" s="2"/>
      <c r="K18" s="2"/>
      <c r="L18" s="2"/>
      <c r="M18" s="2"/>
      <c r="N18" s="2"/>
      <c r="O18" s="2"/>
      <c r="P18" s="2"/>
      <c r="Q18" s="2"/>
      <c r="R18" s="2"/>
      <c r="S18" s="2"/>
      <c r="T18" s="2"/>
      <c r="U18" s="2"/>
      <c r="V18" s="2"/>
      <c r="W18" s="2"/>
      <c r="X18" s="2"/>
      <c r="Y18" s="2"/>
      <c r="Z18" s="2"/>
    </row>
    <row r="19" spans="1:26" x14ac:dyDescent="0.2">
      <c r="A19" s="3" t="s">
        <v>117</v>
      </c>
      <c r="B19" s="3" t="s">
        <v>118</v>
      </c>
      <c r="C19" s="3" t="s">
        <v>119</v>
      </c>
      <c r="D19" s="3" t="s">
        <v>120</v>
      </c>
      <c r="E19" s="3" t="s">
        <v>76</v>
      </c>
      <c r="F19" s="3" t="s">
        <v>121</v>
      </c>
      <c r="G19" s="3">
        <v>3</v>
      </c>
      <c r="H19" s="2"/>
      <c r="I19" s="2"/>
      <c r="J19" s="2"/>
      <c r="K19" s="2"/>
      <c r="L19" s="2"/>
      <c r="M19" s="2"/>
      <c r="N19" s="2"/>
      <c r="O19" s="2"/>
      <c r="P19" s="2"/>
      <c r="Q19" s="2"/>
      <c r="R19" s="2"/>
      <c r="S19" s="2"/>
      <c r="T19" s="2"/>
      <c r="U19" s="2"/>
      <c r="V19" s="2"/>
      <c r="W19" s="2"/>
      <c r="X19" s="2"/>
      <c r="Y19" s="2"/>
      <c r="Z19" s="2"/>
    </row>
    <row r="20" spans="1:26" x14ac:dyDescent="0.2">
      <c r="A20" s="3" t="s">
        <v>122</v>
      </c>
      <c r="B20" s="3" t="s">
        <v>99</v>
      </c>
      <c r="C20" s="3" t="s">
        <v>123</v>
      </c>
      <c r="D20" s="3" t="s">
        <v>101</v>
      </c>
      <c r="E20" s="3" t="s">
        <v>25</v>
      </c>
      <c r="F20" s="3" t="s">
        <v>121</v>
      </c>
      <c r="G20" s="3">
        <v>2</v>
      </c>
      <c r="H20" s="2"/>
      <c r="I20" s="2"/>
      <c r="J20" s="2"/>
      <c r="K20" s="2"/>
      <c r="L20" s="2"/>
      <c r="M20" s="2"/>
      <c r="N20" s="2"/>
      <c r="O20" s="2"/>
      <c r="P20" s="2"/>
      <c r="Q20" s="2"/>
      <c r="R20" s="2"/>
      <c r="S20" s="2"/>
      <c r="T20" s="2"/>
      <c r="U20" s="2"/>
      <c r="V20" s="2"/>
      <c r="W20" s="2"/>
      <c r="X20" s="2"/>
      <c r="Y20" s="2"/>
      <c r="Z20" s="2"/>
    </row>
    <row r="21" spans="1:26" x14ac:dyDescent="0.2">
      <c r="A21" s="3" t="s">
        <v>124</v>
      </c>
      <c r="B21" s="3" t="s">
        <v>125</v>
      </c>
      <c r="C21" s="3" t="s">
        <v>126</v>
      </c>
      <c r="D21" s="3" t="s">
        <v>127</v>
      </c>
      <c r="E21" s="3" t="s">
        <v>76</v>
      </c>
      <c r="F21" s="3" t="s">
        <v>121</v>
      </c>
      <c r="G21" s="3">
        <v>4</v>
      </c>
      <c r="H21" s="2"/>
      <c r="I21" s="2"/>
      <c r="J21" s="2"/>
      <c r="K21" s="2"/>
      <c r="L21" s="2"/>
      <c r="M21" s="2"/>
      <c r="N21" s="2"/>
      <c r="O21" s="2"/>
      <c r="P21" s="2"/>
      <c r="Q21" s="2"/>
      <c r="R21" s="2"/>
      <c r="S21" s="2"/>
      <c r="T21" s="2"/>
      <c r="U21" s="2"/>
      <c r="V21" s="2"/>
      <c r="W21" s="2"/>
      <c r="X21" s="2"/>
      <c r="Y21" s="2"/>
      <c r="Z21" s="2"/>
    </row>
    <row r="22" spans="1:26" x14ac:dyDescent="0.2">
      <c r="A22" s="3" t="s">
        <v>128</v>
      </c>
      <c r="B22" s="3" t="s">
        <v>99</v>
      </c>
      <c r="C22" s="3" t="s">
        <v>129</v>
      </c>
      <c r="D22" s="3" t="s">
        <v>101</v>
      </c>
      <c r="E22" s="3" t="s">
        <v>25</v>
      </c>
      <c r="F22" s="3" t="s">
        <v>102</v>
      </c>
      <c r="G22" s="3">
        <v>4</v>
      </c>
      <c r="H22" s="2"/>
      <c r="I22" s="2"/>
      <c r="J22" s="2"/>
      <c r="K22" s="2"/>
      <c r="L22" s="2"/>
      <c r="M22" s="2"/>
      <c r="N22" s="2"/>
      <c r="O22" s="2"/>
      <c r="P22" s="2"/>
      <c r="Q22" s="2"/>
      <c r="R22" s="2"/>
      <c r="S22" s="2"/>
      <c r="T22" s="2"/>
      <c r="U22" s="2"/>
      <c r="V22" s="2"/>
      <c r="W22" s="2"/>
      <c r="X22" s="2"/>
      <c r="Y22" s="2"/>
      <c r="Z22" s="2"/>
    </row>
    <row r="23" spans="1:26" x14ac:dyDescent="0.2">
      <c r="A23" s="3" t="s">
        <v>130</v>
      </c>
      <c r="B23" s="3" t="s">
        <v>99</v>
      </c>
      <c r="C23" s="3" t="s">
        <v>131</v>
      </c>
      <c r="D23" s="3" t="s">
        <v>101</v>
      </c>
      <c r="E23" s="3" t="s">
        <v>25</v>
      </c>
      <c r="F23" s="3" t="s">
        <v>102</v>
      </c>
      <c r="G23" s="3">
        <v>3</v>
      </c>
      <c r="H23" s="2"/>
      <c r="I23" s="2"/>
      <c r="J23" s="2"/>
      <c r="K23" s="2"/>
      <c r="L23" s="2"/>
      <c r="M23" s="2"/>
      <c r="N23" s="2"/>
      <c r="O23" s="2"/>
      <c r="P23" s="2"/>
      <c r="Q23" s="2"/>
      <c r="R23" s="2"/>
      <c r="S23" s="2"/>
      <c r="T23" s="2"/>
      <c r="U23" s="2"/>
      <c r="V23" s="2"/>
      <c r="W23" s="2"/>
      <c r="X23" s="2"/>
      <c r="Y23" s="2"/>
      <c r="Z23" s="2"/>
    </row>
    <row r="24" spans="1:26" x14ac:dyDescent="0.2">
      <c r="A24" s="3" t="s">
        <v>132</v>
      </c>
      <c r="B24" s="3" t="s">
        <v>133</v>
      </c>
      <c r="C24" s="3" t="s">
        <v>134</v>
      </c>
      <c r="D24" s="3">
        <v>2020</v>
      </c>
      <c r="E24" s="3" t="s">
        <v>76</v>
      </c>
      <c r="F24" s="4" t="s">
        <v>135</v>
      </c>
      <c r="G24" s="3">
        <v>4</v>
      </c>
      <c r="H24" s="2"/>
      <c r="I24" s="2"/>
      <c r="J24" s="2"/>
      <c r="K24" s="2"/>
      <c r="L24" s="2"/>
      <c r="M24" s="2"/>
      <c r="N24" s="2"/>
      <c r="O24" s="2"/>
      <c r="P24" s="2"/>
      <c r="Q24" s="2"/>
      <c r="R24" s="2"/>
      <c r="S24" s="2"/>
      <c r="T24" s="2"/>
      <c r="U24" s="2"/>
      <c r="V24" s="2"/>
      <c r="W24" s="2"/>
      <c r="X24" s="2"/>
      <c r="Y24" s="2"/>
      <c r="Z24" s="2"/>
    </row>
    <row r="25" spans="1:26" x14ac:dyDescent="0.2">
      <c r="A25" s="1" t="s">
        <v>35</v>
      </c>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3" t="s">
        <v>9</v>
      </c>
      <c r="H26" s="2"/>
      <c r="I26" s="2"/>
      <c r="J26" s="2"/>
      <c r="K26" s="2"/>
      <c r="L26" s="2"/>
      <c r="M26" s="2"/>
      <c r="N26" s="2"/>
      <c r="O26" s="2"/>
      <c r="P26" s="2"/>
      <c r="Q26" s="2"/>
      <c r="R26" s="2"/>
      <c r="S26" s="2"/>
      <c r="T26" s="2"/>
      <c r="U26" s="2"/>
      <c r="V26" s="2"/>
      <c r="W26" s="2"/>
      <c r="X26" s="2"/>
      <c r="Y26" s="2"/>
      <c r="Z26" s="2"/>
    </row>
    <row r="27" spans="1:26" x14ac:dyDescent="0.2">
      <c r="A27" s="3" t="s">
        <v>63</v>
      </c>
      <c r="B27" s="2"/>
      <c r="C27" s="3" t="s">
        <v>64</v>
      </c>
      <c r="D27" s="3" t="s">
        <v>9</v>
      </c>
      <c r="E27" s="3" t="s">
        <v>9</v>
      </c>
      <c r="F27" s="2"/>
      <c r="G27" s="3" t="s">
        <v>9</v>
      </c>
      <c r="H27" s="2"/>
      <c r="I27" s="2"/>
      <c r="J27" s="2"/>
      <c r="K27" s="2"/>
      <c r="L27" s="2"/>
      <c r="M27" s="2"/>
      <c r="N27" s="2"/>
      <c r="O27" s="2"/>
      <c r="P27" s="2"/>
      <c r="Q27" s="2"/>
      <c r="R27" s="2"/>
      <c r="S27" s="2"/>
      <c r="T27" s="2"/>
      <c r="U27" s="2"/>
      <c r="V27" s="2"/>
      <c r="W27" s="2"/>
      <c r="X27" s="2"/>
      <c r="Y27" s="2"/>
      <c r="Z27" s="2"/>
    </row>
    <row r="28" spans="1:26" x14ac:dyDescent="0.2">
      <c r="A28" s="3" t="s">
        <v>65</v>
      </c>
      <c r="B28" s="2"/>
      <c r="C28" s="3" t="s">
        <v>66</v>
      </c>
      <c r="D28" s="3" t="s">
        <v>9</v>
      </c>
      <c r="E28" s="3" t="s">
        <v>9</v>
      </c>
      <c r="F28" s="2"/>
      <c r="G28" s="3" t="s">
        <v>9</v>
      </c>
      <c r="H28" s="2"/>
      <c r="I28" s="2"/>
      <c r="J28" s="2"/>
      <c r="K28" s="2"/>
      <c r="L28" s="2"/>
      <c r="M28" s="2"/>
      <c r="N28" s="2"/>
      <c r="O28" s="2"/>
      <c r="P28" s="2"/>
      <c r="Q28" s="2"/>
      <c r="R28" s="2"/>
      <c r="S28" s="2"/>
      <c r="T28" s="2"/>
      <c r="U28" s="2"/>
      <c r="V28" s="2"/>
      <c r="W28" s="2"/>
      <c r="X28" s="2"/>
      <c r="Y28" s="2"/>
      <c r="Z28" s="2"/>
    </row>
    <row r="29" spans="1:26" x14ac:dyDescent="0.2">
      <c r="A29" s="3" t="s">
        <v>67</v>
      </c>
      <c r="B29" s="3" t="s">
        <v>68</v>
      </c>
      <c r="C29" s="3" t="s">
        <v>69</v>
      </c>
      <c r="D29" s="3">
        <v>2017</v>
      </c>
      <c r="E29" s="3" t="s">
        <v>70</v>
      </c>
      <c r="F29" s="3" t="s">
        <v>71</v>
      </c>
      <c r="G29" s="3">
        <v>3</v>
      </c>
      <c r="H29" s="2"/>
      <c r="I29" s="2"/>
      <c r="J29" s="2"/>
      <c r="K29" s="2"/>
      <c r="L29" s="2"/>
      <c r="M29" s="2"/>
      <c r="N29" s="2"/>
      <c r="O29" s="2"/>
      <c r="P29" s="2"/>
      <c r="Q29" s="2"/>
      <c r="R29" s="2"/>
      <c r="S29" s="2"/>
      <c r="T29" s="2"/>
      <c r="U29" s="2"/>
      <c r="V29" s="2"/>
      <c r="W29" s="2"/>
      <c r="X29" s="2"/>
      <c r="Y29" s="2"/>
      <c r="Z29" s="2"/>
    </row>
    <row r="30" spans="1:26" x14ac:dyDescent="0.2">
      <c r="A30" s="3" t="s">
        <v>72</v>
      </c>
      <c r="B30" s="3" t="s">
        <v>73</v>
      </c>
      <c r="C30" s="3" t="s">
        <v>74</v>
      </c>
      <c r="D30" s="3" t="s">
        <v>75</v>
      </c>
      <c r="E30" s="3" t="s">
        <v>76</v>
      </c>
      <c r="F30" s="3" t="s">
        <v>77</v>
      </c>
      <c r="G30" s="3">
        <v>4</v>
      </c>
      <c r="H30" s="2"/>
      <c r="I30" s="2"/>
      <c r="J30" s="2"/>
      <c r="K30" s="2"/>
      <c r="L30" s="2"/>
      <c r="M30" s="2"/>
      <c r="N30" s="2"/>
      <c r="O30" s="2"/>
      <c r="P30" s="2"/>
      <c r="Q30" s="2"/>
      <c r="R30" s="2"/>
      <c r="S30" s="2"/>
      <c r="T30" s="2"/>
      <c r="U30" s="2"/>
      <c r="V30" s="2"/>
      <c r="W30" s="2"/>
      <c r="X30" s="2"/>
      <c r="Y30" s="2"/>
      <c r="Z30" s="2"/>
    </row>
    <row r="31" spans="1:26" x14ac:dyDescent="0.2">
      <c r="A31" s="3" t="s">
        <v>78</v>
      </c>
      <c r="B31" s="3" t="s">
        <v>79</v>
      </c>
      <c r="C31" s="3" t="s">
        <v>80</v>
      </c>
      <c r="D31" s="3" t="s">
        <v>81</v>
      </c>
      <c r="E31" s="3" t="s">
        <v>76</v>
      </c>
      <c r="F31" s="3" t="s">
        <v>82</v>
      </c>
      <c r="G31" s="3">
        <v>4</v>
      </c>
      <c r="H31" s="2"/>
      <c r="I31" s="2"/>
      <c r="J31" s="2"/>
      <c r="K31" s="2"/>
      <c r="L31" s="2"/>
      <c r="M31" s="2"/>
      <c r="N31" s="2"/>
      <c r="O31" s="2"/>
      <c r="P31" s="2"/>
      <c r="Q31" s="2"/>
      <c r="R31" s="2"/>
      <c r="S31" s="2"/>
      <c r="T31" s="2"/>
      <c r="U31" s="2"/>
      <c r="V31" s="2"/>
      <c r="W31" s="2"/>
      <c r="X31" s="2"/>
      <c r="Y31" s="2"/>
      <c r="Z31" s="2"/>
    </row>
    <row r="32" spans="1:26" x14ac:dyDescent="0.2">
      <c r="A32" s="3" t="s">
        <v>83</v>
      </c>
      <c r="B32" s="3" t="s">
        <v>84</v>
      </c>
      <c r="C32" s="3" t="s">
        <v>85</v>
      </c>
      <c r="D32" s="3" t="s">
        <v>86</v>
      </c>
      <c r="E32" s="3" t="s">
        <v>76</v>
      </c>
      <c r="F32" s="3" t="s">
        <v>87</v>
      </c>
      <c r="G32" s="3">
        <v>4</v>
      </c>
      <c r="H32" s="2"/>
      <c r="I32" s="2"/>
      <c r="J32" s="2"/>
      <c r="K32" s="2"/>
      <c r="L32" s="2"/>
      <c r="M32" s="2"/>
      <c r="N32" s="2"/>
      <c r="O32" s="2"/>
      <c r="P32" s="2"/>
      <c r="Q32" s="2"/>
      <c r="R32" s="2"/>
      <c r="S32" s="2"/>
      <c r="T32" s="2"/>
      <c r="U32" s="2"/>
      <c r="V32" s="2"/>
      <c r="W32" s="2"/>
      <c r="X32" s="2"/>
      <c r="Y32" s="2"/>
      <c r="Z32" s="2"/>
    </row>
    <row r="33" spans="1:26" x14ac:dyDescent="0.2">
      <c r="A33" s="3" t="s">
        <v>88</v>
      </c>
      <c r="B33" s="3" t="s">
        <v>89</v>
      </c>
      <c r="C33" s="3" t="s">
        <v>90</v>
      </c>
      <c r="D33" s="3" t="s">
        <v>81</v>
      </c>
      <c r="E33" s="3" t="s">
        <v>91</v>
      </c>
      <c r="F33" s="3" t="s">
        <v>92</v>
      </c>
      <c r="G33" s="3">
        <v>2</v>
      </c>
      <c r="H33" s="2"/>
      <c r="I33" s="2"/>
      <c r="J33" s="2"/>
      <c r="K33" s="2"/>
      <c r="L33" s="2"/>
      <c r="M33" s="2"/>
      <c r="N33" s="2"/>
      <c r="O33" s="2"/>
      <c r="P33" s="2"/>
      <c r="Q33" s="2"/>
      <c r="R33" s="2"/>
      <c r="S33" s="2"/>
      <c r="T33" s="2"/>
      <c r="U33" s="2"/>
      <c r="V33" s="2"/>
      <c r="W33" s="2"/>
      <c r="X33" s="2"/>
      <c r="Y33" s="2"/>
      <c r="Z33" s="2"/>
    </row>
    <row r="34" spans="1:26" x14ac:dyDescent="0.2">
      <c r="A34" s="3" t="s">
        <v>93</v>
      </c>
      <c r="B34" s="3" t="s">
        <v>94</v>
      </c>
      <c r="C34" s="3" t="s">
        <v>95</v>
      </c>
      <c r="D34" s="3" t="s">
        <v>96</v>
      </c>
      <c r="E34" s="3" t="s">
        <v>91</v>
      </c>
      <c r="F34" s="3" t="s">
        <v>97</v>
      </c>
      <c r="G34" s="3">
        <v>3</v>
      </c>
      <c r="H34" s="2"/>
      <c r="I34" s="2"/>
      <c r="J34" s="2"/>
      <c r="K34" s="2"/>
      <c r="L34" s="2"/>
      <c r="M34" s="2"/>
      <c r="N34" s="2"/>
      <c r="O34" s="2"/>
      <c r="P34" s="2"/>
      <c r="Q34" s="2"/>
      <c r="R34" s="2"/>
      <c r="S34" s="2"/>
      <c r="T34" s="2"/>
      <c r="U34" s="2"/>
      <c r="V34" s="2"/>
      <c r="W34" s="2"/>
      <c r="X34" s="2"/>
      <c r="Y34" s="2"/>
      <c r="Z34" s="2"/>
    </row>
    <row r="35" spans="1:26" x14ac:dyDescent="0.2">
      <c r="A35" s="3" t="s">
        <v>98</v>
      </c>
      <c r="B35" s="3" t="s">
        <v>99</v>
      </c>
      <c r="C35" s="3" t="s">
        <v>100</v>
      </c>
      <c r="D35" s="3" t="s">
        <v>101</v>
      </c>
      <c r="E35" s="3" t="s">
        <v>25</v>
      </c>
      <c r="F35" s="3" t="s">
        <v>102</v>
      </c>
      <c r="G35" s="3">
        <v>2</v>
      </c>
      <c r="H35" s="2"/>
      <c r="I35" s="2"/>
      <c r="J35" s="2"/>
      <c r="K35" s="2"/>
      <c r="L35" s="2"/>
      <c r="M35" s="2"/>
      <c r="N35" s="2"/>
      <c r="O35" s="2"/>
      <c r="P35" s="2"/>
      <c r="Q35" s="2"/>
      <c r="R35" s="2"/>
      <c r="S35" s="2"/>
      <c r="T35" s="2"/>
      <c r="U35" s="2"/>
      <c r="V35" s="2"/>
      <c r="W35" s="2"/>
      <c r="X35" s="2"/>
      <c r="Y35" s="2"/>
      <c r="Z35" s="2"/>
    </row>
    <row r="36" spans="1:26" x14ac:dyDescent="0.2">
      <c r="A36" s="1" t="s">
        <v>35</v>
      </c>
      <c r="B36" s="2"/>
      <c r="C36" s="2"/>
      <c r="D36" s="2"/>
      <c r="E36" s="2"/>
      <c r="F36" s="2"/>
      <c r="G36" s="3" t="s">
        <v>18</v>
      </c>
      <c r="H36" s="2"/>
      <c r="I36" s="2"/>
      <c r="J36" s="2"/>
      <c r="K36" s="2"/>
      <c r="L36" s="2"/>
      <c r="M36" s="2"/>
      <c r="N36" s="2"/>
      <c r="O36" s="2"/>
      <c r="P36" s="2"/>
      <c r="Q36" s="2"/>
      <c r="R36" s="2"/>
      <c r="S36" s="2"/>
      <c r="T36" s="2"/>
      <c r="U36" s="2"/>
      <c r="V36" s="2"/>
      <c r="W36" s="2"/>
      <c r="X36" s="2"/>
      <c r="Y36" s="2"/>
      <c r="Z36" s="2"/>
    </row>
    <row r="37" spans="1:26" x14ac:dyDescent="0.2">
      <c r="A37" s="3" t="s">
        <v>103</v>
      </c>
      <c r="B37" s="2"/>
      <c r="C37" s="3" t="s">
        <v>104</v>
      </c>
      <c r="D37" s="3" t="s">
        <v>9</v>
      </c>
      <c r="E37" s="3" t="s">
        <v>9</v>
      </c>
      <c r="F37" s="2"/>
      <c r="G37" s="3" t="s">
        <v>9</v>
      </c>
      <c r="H37" s="2"/>
      <c r="I37" s="2"/>
      <c r="J37" s="2"/>
      <c r="K37" s="2"/>
      <c r="L37" s="2"/>
      <c r="M37" s="2"/>
      <c r="N37" s="2"/>
      <c r="O37" s="2"/>
      <c r="P37" s="2"/>
      <c r="Q37" s="2"/>
      <c r="R37" s="2"/>
      <c r="S37" s="2"/>
      <c r="T37" s="2"/>
      <c r="U37" s="2"/>
      <c r="V37" s="2"/>
      <c r="W37" s="2"/>
      <c r="X37" s="2"/>
      <c r="Y37" s="2"/>
      <c r="Z37" s="2"/>
    </row>
    <row r="38" spans="1:26" x14ac:dyDescent="0.2">
      <c r="A38" s="3" t="s">
        <v>105</v>
      </c>
      <c r="B38" s="3" t="s">
        <v>106</v>
      </c>
      <c r="C38" s="3" t="s">
        <v>107</v>
      </c>
      <c r="D38" s="3" t="s">
        <v>108</v>
      </c>
      <c r="E38" s="3" t="s">
        <v>109</v>
      </c>
      <c r="F38" s="2"/>
      <c r="G38" s="3">
        <v>4</v>
      </c>
      <c r="H38" s="2"/>
      <c r="I38" s="2"/>
      <c r="J38" s="2"/>
      <c r="K38" s="2"/>
      <c r="L38" s="2"/>
      <c r="M38" s="2"/>
      <c r="N38" s="2"/>
      <c r="O38" s="2"/>
      <c r="P38" s="2"/>
      <c r="Q38" s="2"/>
      <c r="R38" s="2"/>
      <c r="S38" s="2"/>
      <c r="T38" s="2"/>
      <c r="U38" s="2"/>
      <c r="V38" s="2"/>
      <c r="W38" s="2"/>
      <c r="X38" s="2"/>
      <c r="Y38" s="2"/>
      <c r="Z38" s="2"/>
    </row>
    <row r="39" spans="1:26" x14ac:dyDescent="0.2">
      <c r="A39" s="3" t="s">
        <v>110</v>
      </c>
      <c r="B39" s="3" t="s">
        <v>106</v>
      </c>
      <c r="C39" s="3" t="s">
        <v>111</v>
      </c>
      <c r="D39" s="3" t="s">
        <v>108</v>
      </c>
      <c r="E39" s="3" t="s">
        <v>112</v>
      </c>
      <c r="F39" s="2"/>
      <c r="G39" s="3">
        <v>3</v>
      </c>
      <c r="H39" s="2"/>
      <c r="I39" s="2"/>
      <c r="J39" s="2"/>
      <c r="K39" s="2"/>
      <c r="L39" s="2"/>
      <c r="M39" s="2"/>
      <c r="N39" s="2"/>
      <c r="O39" s="2"/>
      <c r="P39" s="2"/>
      <c r="Q39" s="2"/>
      <c r="R39" s="2"/>
      <c r="S39" s="2"/>
      <c r="T39" s="2"/>
      <c r="U39" s="2"/>
      <c r="V39" s="2"/>
      <c r="W39" s="2"/>
      <c r="X39" s="2"/>
      <c r="Y39" s="2"/>
      <c r="Z39" s="2"/>
    </row>
    <row r="40" spans="1:26" x14ac:dyDescent="0.2">
      <c r="A40" s="3" t="s">
        <v>113</v>
      </c>
      <c r="B40" s="3" t="s">
        <v>106</v>
      </c>
      <c r="C40" s="3" t="s">
        <v>114</v>
      </c>
      <c r="D40" s="3" t="s">
        <v>108</v>
      </c>
      <c r="E40" s="3" t="s">
        <v>115</v>
      </c>
      <c r="F40" s="2"/>
      <c r="G40" s="3">
        <v>4</v>
      </c>
      <c r="H40" s="2"/>
      <c r="I40" s="2"/>
      <c r="J40" s="2"/>
      <c r="K40" s="2"/>
      <c r="L40" s="2"/>
      <c r="M40" s="2"/>
      <c r="N40" s="2"/>
      <c r="O40" s="2"/>
      <c r="P40" s="2"/>
      <c r="Q40" s="2"/>
      <c r="R40" s="2"/>
      <c r="S40" s="2"/>
      <c r="T40" s="2"/>
      <c r="U40" s="2"/>
      <c r="V40" s="2"/>
      <c r="W40" s="2"/>
      <c r="X40" s="2"/>
      <c r="Y40" s="2"/>
      <c r="Z40" s="2"/>
    </row>
    <row r="41" spans="1:26" x14ac:dyDescent="0.2">
      <c r="A41" s="1" t="s">
        <v>35</v>
      </c>
      <c r="B41" s="2"/>
      <c r="C41" s="2"/>
      <c r="D41" s="2"/>
      <c r="E41" s="2"/>
      <c r="F41" s="2"/>
      <c r="G41" s="3" t="s">
        <v>18</v>
      </c>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ef="F24" r:id="rId1" xr:uid="{5B39B265-31A0-6A47-A2DD-2C7CD9EB2C9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E927-FE3C-2847-99EE-332CA1D40B51}">
  <dimension ref="A1:Z1000"/>
  <sheetViews>
    <sheetView workbookViewId="0">
      <selection activeCell="K66" sqref="K66"/>
    </sheetView>
  </sheetViews>
  <sheetFormatPr baseColWidth="10" defaultRowHeight="16" x14ac:dyDescent="0.2"/>
  <cols>
    <col min="1" max="1" width="44.6640625" bestFit="1" customWidth="1"/>
  </cols>
  <sheetData>
    <row r="1" spans="1:26" x14ac:dyDescent="0.2">
      <c r="A1" s="1" t="s">
        <v>0</v>
      </c>
      <c r="B1" s="1" t="s">
        <v>1</v>
      </c>
      <c r="C1" s="1" t="s">
        <v>2</v>
      </c>
      <c r="D1" s="1" t="s">
        <v>3</v>
      </c>
      <c r="E1" s="1" t="s">
        <v>4</v>
      </c>
      <c r="F1" s="1" t="s">
        <v>5</v>
      </c>
      <c r="G1" s="1" t="s">
        <v>6</v>
      </c>
      <c r="H1" s="2"/>
      <c r="I1" s="1" t="s">
        <v>136</v>
      </c>
      <c r="J1" s="2"/>
      <c r="K1" s="2"/>
      <c r="L1" s="2"/>
      <c r="M1" s="2"/>
      <c r="N1" s="2"/>
      <c r="O1" s="2"/>
      <c r="P1" s="2"/>
      <c r="Q1" s="2"/>
      <c r="R1" s="2"/>
      <c r="S1" s="2"/>
      <c r="T1" s="2"/>
      <c r="U1" s="2"/>
      <c r="V1" s="2"/>
      <c r="W1" s="2"/>
      <c r="X1" s="2"/>
      <c r="Y1" s="2"/>
      <c r="Z1" s="2"/>
    </row>
    <row r="2" spans="1:26" x14ac:dyDescent="0.2">
      <c r="A2" s="2"/>
      <c r="B2" s="2"/>
      <c r="C2" s="2"/>
      <c r="D2" s="2"/>
      <c r="E2" s="2"/>
      <c r="F2" s="2"/>
      <c r="G2" s="3" t="s">
        <v>147</v>
      </c>
      <c r="H2" s="2"/>
      <c r="I2" s="2"/>
      <c r="J2" s="2"/>
      <c r="K2" s="2"/>
      <c r="L2" s="2"/>
      <c r="M2" s="2"/>
      <c r="N2" s="2"/>
      <c r="O2" s="2"/>
      <c r="P2" s="2"/>
      <c r="Q2" s="2"/>
      <c r="R2" s="2"/>
      <c r="S2" s="2"/>
      <c r="T2" s="2"/>
      <c r="U2" s="2"/>
      <c r="V2" s="2"/>
      <c r="W2" s="2"/>
      <c r="X2" s="2"/>
      <c r="Y2" s="2"/>
      <c r="Z2" s="2"/>
    </row>
    <row r="3" spans="1:26" x14ac:dyDescent="0.2">
      <c r="A3" s="3" t="s">
        <v>7</v>
      </c>
      <c r="B3" s="2"/>
      <c r="C3" s="3" t="s">
        <v>8</v>
      </c>
      <c r="D3" s="3" t="s">
        <v>9</v>
      </c>
      <c r="E3" s="3" t="s">
        <v>9</v>
      </c>
      <c r="F3" s="2"/>
      <c r="G3" s="3" t="s">
        <v>9</v>
      </c>
      <c r="H3" s="2"/>
      <c r="I3" s="2"/>
      <c r="J3" s="2"/>
      <c r="K3" s="2"/>
      <c r="L3" s="2"/>
      <c r="M3" s="2"/>
      <c r="N3" s="2"/>
      <c r="O3" s="2"/>
      <c r="P3" s="2"/>
      <c r="Q3" s="2"/>
      <c r="R3" s="2"/>
      <c r="S3" s="2"/>
      <c r="T3" s="2"/>
      <c r="U3" s="2"/>
      <c r="V3" s="2"/>
      <c r="W3" s="2"/>
      <c r="X3" s="2"/>
      <c r="Y3" s="2"/>
      <c r="Z3" s="2"/>
    </row>
    <row r="4" spans="1:26" x14ac:dyDescent="0.2">
      <c r="A4" s="3" t="s">
        <v>10</v>
      </c>
      <c r="B4" s="2"/>
      <c r="C4" s="3" t="s">
        <v>11</v>
      </c>
      <c r="D4" s="3" t="s">
        <v>9</v>
      </c>
      <c r="E4" s="3" t="s">
        <v>9</v>
      </c>
      <c r="F4" s="2"/>
      <c r="G4" s="3" t="s">
        <v>9</v>
      </c>
      <c r="H4" s="2"/>
      <c r="I4" s="2"/>
      <c r="J4" s="2"/>
      <c r="K4" s="2"/>
      <c r="L4" s="2"/>
      <c r="M4" s="2"/>
      <c r="N4" s="2"/>
      <c r="O4" s="2"/>
      <c r="P4" s="2"/>
      <c r="Q4" s="2"/>
      <c r="R4" s="2"/>
      <c r="S4" s="2"/>
      <c r="T4" s="2"/>
      <c r="U4" s="2"/>
      <c r="V4" s="2"/>
      <c r="W4" s="2"/>
      <c r="X4" s="2"/>
      <c r="Y4" s="2"/>
      <c r="Z4" s="2"/>
    </row>
    <row r="5" spans="1:26" x14ac:dyDescent="0.2">
      <c r="A5" s="3" t="s">
        <v>12</v>
      </c>
      <c r="B5" s="3" t="s">
        <v>13</v>
      </c>
      <c r="C5" s="3" t="s">
        <v>14</v>
      </c>
      <c r="D5" s="3" t="s">
        <v>15</v>
      </c>
      <c r="E5" s="3" t="s">
        <v>16</v>
      </c>
      <c r="F5" s="3" t="s">
        <v>17</v>
      </c>
      <c r="G5" s="3">
        <v>3</v>
      </c>
      <c r="H5" s="2"/>
      <c r="I5" s="2"/>
      <c r="J5" s="2"/>
      <c r="K5" s="2"/>
      <c r="L5" s="2"/>
      <c r="M5" s="2"/>
      <c r="N5" s="2"/>
      <c r="O5" s="2"/>
      <c r="P5" s="2"/>
      <c r="Q5" s="2"/>
      <c r="R5" s="2"/>
      <c r="S5" s="2"/>
      <c r="T5" s="2"/>
      <c r="U5" s="2"/>
      <c r="V5" s="2"/>
      <c r="W5" s="2"/>
      <c r="X5" s="2"/>
      <c r="Y5" s="2"/>
      <c r="Z5" s="2"/>
    </row>
    <row r="6" spans="1:26" x14ac:dyDescent="0.2">
      <c r="A6" s="3" t="s">
        <v>19</v>
      </c>
      <c r="B6" s="3" t="s">
        <v>13</v>
      </c>
      <c r="C6" s="3" t="s">
        <v>20</v>
      </c>
      <c r="D6" s="3" t="s">
        <v>15</v>
      </c>
      <c r="E6" s="3" t="s">
        <v>16</v>
      </c>
      <c r="F6" s="3" t="s">
        <v>17</v>
      </c>
      <c r="G6" s="3">
        <v>2</v>
      </c>
      <c r="H6" s="2"/>
      <c r="I6" s="2"/>
      <c r="J6" s="2"/>
      <c r="K6" s="2"/>
      <c r="L6" s="2"/>
      <c r="M6" s="2"/>
      <c r="N6" s="2"/>
      <c r="O6" s="2"/>
      <c r="P6" s="2"/>
      <c r="Q6" s="2"/>
      <c r="R6" s="2"/>
      <c r="S6" s="2"/>
      <c r="T6" s="2"/>
      <c r="U6" s="2"/>
      <c r="V6" s="2"/>
      <c r="W6" s="2"/>
      <c r="X6" s="2"/>
      <c r="Y6" s="2"/>
      <c r="Z6" s="2"/>
    </row>
    <row r="7" spans="1:26" x14ac:dyDescent="0.2">
      <c r="A7" s="3" t="s">
        <v>21</v>
      </c>
      <c r="B7" s="3" t="s">
        <v>22</v>
      </c>
      <c r="C7" s="3" t="s">
        <v>23</v>
      </c>
      <c r="D7" s="3" t="s">
        <v>24</v>
      </c>
      <c r="E7" s="3" t="s">
        <v>25</v>
      </c>
      <c r="F7" s="3" t="s">
        <v>26</v>
      </c>
      <c r="G7" s="3">
        <v>3</v>
      </c>
      <c r="H7" s="2"/>
      <c r="I7" s="2"/>
      <c r="J7" s="2"/>
      <c r="K7" s="2"/>
      <c r="L7" s="2"/>
      <c r="M7" s="2"/>
      <c r="N7" s="2"/>
      <c r="O7" s="2"/>
      <c r="P7" s="2"/>
      <c r="Q7" s="2"/>
      <c r="R7" s="2"/>
      <c r="S7" s="2"/>
      <c r="T7" s="2"/>
      <c r="U7" s="2"/>
      <c r="V7" s="2"/>
      <c r="W7" s="2"/>
      <c r="X7" s="2"/>
      <c r="Y7" s="2"/>
      <c r="Z7" s="2"/>
    </row>
    <row r="8" spans="1:26" x14ac:dyDescent="0.2">
      <c r="A8" s="3" t="s">
        <v>27</v>
      </c>
      <c r="B8" s="3" t="s">
        <v>28</v>
      </c>
      <c r="C8" s="3" t="s">
        <v>29</v>
      </c>
      <c r="D8" s="3" t="s">
        <v>30</v>
      </c>
      <c r="E8" s="3" t="s">
        <v>31</v>
      </c>
      <c r="F8" s="3" t="s">
        <v>32</v>
      </c>
      <c r="G8" s="3">
        <v>5</v>
      </c>
      <c r="H8" s="2"/>
      <c r="I8" s="2"/>
      <c r="J8" s="2"/>
      <c r="K8" s="2"/>
      <c r="L8" s="2"/>
      <c r="M8" s="2"/>
      <c r="N8" s="2"/>
      <c r="O8" s="2"/>
      <c r="P8" s="2"/>
      <c r="Q8" s="2"/>
      <c r="R8" s="2"/>
      <c r="S8" s="2"/>
      <c r="T8" s="2"/>
      <c r="U8" s="2"/>
      <c r="V8" s="2"/>
      <c r="W8" s="2"/>
      <c r="X8" s="2"/>
      <c r="Y8" s="2"/>
      <c r="Z8" s="2"/>
    </row>
    <row r="9" spans="1:26" x14ac:dyDescent="0.2">
      <c r="A9" s="3" t="s">
        <v>33</v>
      </c>
      <c r="B9" s="3" t="s">
        <v>28</v>
      </c>
      <c r="C9" s="3" t="s">
        <v>34</v>
      </c>
      <c r="D9" s="3" t="s">
        <v>30</v>
      </c>
      <c r="E9" s="3" t="s">
        <v>31</v>
      </c>
      <c r="F9" s="3" t="s">
        <v>32</v>
      </c>
      <c r="G9" s="3">
        <v>4</v>
      </c>
      <c r="H9" s="2"/>
      <c r="I9" s="2"/>
      <c r="J9" s="2"/>
      <c r="K9" s="2"/>
      <c r="L9" s="2"/>
      <c r="M9" s="2"/>
      <c r="N9" s="2"/>
      <c r="O9" s="2"/>
      <c r="P9" s="2"/>
      <c r="Q9" s="2"/>
      <c r="R9" s="2"/>
      <c r="S9" s="2"/>
      <c r="T9" s="2"/>
      <c r="U9" s="2"/>
      <c r="V9" s="2"/>
      <c r="W9" s="2"/>
      <c r="X9" s="2"/>
      <c r="Y9" s="2"/>
      <c r="Z9" s="2"/>
    </row>
    <row r="10" spans="1:26" x14ac:dyDescent="0.2">
      <c r="A10" s="1" t="s">
        <v>35</v>
      </c>
      <c r="B10" s="2"/>
      <c r="C10" s="2"/>
      <c r="D10" s="2"/>
      <c r="E10" s="2"/>
      <c r="F10" s="2"/>
      <c r="G10" s="3" t="s">
        <v>18</v>
      </c>
      <c r="H10" s="2"/>
      <c r="I10" s="2"/>
      <c r="J10" s="2"/>
      <c r="K10" s="2"/>
      <c r="L10" s="2"/>
      <c r="M10" s="2"/>
      <c r="N10" s="2"/>
      <c r="O10" s="2"/>
      <c r="P10" s="2"/>
      <c r="Q10" s="2"/>
      <c r="R10" s="2"/>
      <c r="S10" s="2"/>
      <c r="T10" s="2"/>
      <c r="U10" s="2"/>
      <c r="V10" s="2"/>
      <c r="W10" s="2"/>
      <c r="X10" s="2"/>
      <c r="Y10" s="2"/>
      <c r="Z10" s="2"/>
    </row>
    <row r="11" spans="1:26" x14ac:dyDescent="0.2">
      <c r="A11" s="3" t="s">
        <v>36</v>
      </c>
      <c r="B11" s="2"/>
      <c r="C11" s="3" t="s">
        <v>37</v>
      </c>
      <c r="D11" s="3" t="s">
        <v>9</v>
      </c>
      <c r="E11" s="3" t="s">
        <v>9</v>
      </c>
      <c r="F11" s="2"/>
      <c r="G11" s="3" t="s">
        <v>9</v>
      </c>
      <c r="H11" s="2"/>
      <c r="I11" s="2"/>
      <c r="J11" s="2"/>
      <c r="K11" s="2"/>
      <c r="L11" s="2"/>
      <c r="M11" s="2"/>
      <c r="N11" s="2"/>
      <c r="O11" s="2"/>
      <c r="P11" s="2"/>
      <c r="Q11" s="2"/>
      <c r="R11" s="2"/>
      <c r="S11" s="2"/>
      <c r="T11" s="2"/>
      <c r="U11" s="2"/>
      <c r="V11" s="2"/>
      <c r="W11" s="2"/>
      <c r="X11" s="2"/>
      <c r="Y11" s="2"/>
      <c r="Z11" s="2"/>
    </row>
    <row r="12" spans="1:26" x14ac:dyDescent="0.2">
      <c r="A12" s="3" t="s">
        <v>38</v>
      </c>
      <c r="B12" s="3" t="s">
        <v>39</v>
      </c>
      <c r="C12" s="3" t="s">
        <v>40</v>
      </c>
      <c r="D12" s="3" t="s">
        <v>41</v>
      </c>
      <c r="E12" s="3" t="s">
        <v>42</v>
      </c>
      <c r="F12" s="3" t="s">
        <v>43</v>
      </c>
      <c r="G12" s="3">
        <v>4</v>
      </c>
      <c r="H12" s="2"/>
      <c r="I12" s="2"/>
      <c r="J12" s="2"/>
      <c r="K12" s="2"/>
      <c r="L12" s="2"/>
      <c r="M12" s="2"/>
      <c r="N12" s="2"/>
      <c r="O12" s="2"/>
      <c r="P12" s="2"/>
      <c r="Q12" s="2"/>
      <c r="R12" s="2"/>
      <c r="S12" s="2"/>
      <c r="T12" s="2"/>
      <c r="U12" s="2"/>
      <c r="V12" s="2"/>
      <c r="W12" s="2"/>
      <c r="X12" s="2"/>
      <c r="Y12" s="2"/>
      <c r="Z12" s="2"/>
    </row>
    <row r="13" spans="1:26" x14ac:dyDescent="0.2">
      <c r="A13" s="3" t="s">
        <v>44</v>
      </c>
      <c r="B13" s="3" t="s">
        <v>45</v>
      </c>
      <c r="C13" s="3" t="s">
        <v>46</v>
      </c>
      <c r="D13" s="3" t="s">
        <v>47</v>
      </c>
      <c r="E13" s="3" t="s">
        <v>48</v>
      </c>
      <c r="F13" s="3" t="s">
        <v>49</v>
      </c>
      <c r="G13" s="3">
        <v>3</v>
      </c>
      <c r="H13" s="2"/>
      <c r="I13" s="2"/>
      <c r="J13" s="2"/>
      <c r="K13" s="2"/>
      <c r="L13" s="2"/>
      <c r="M13" s="2"/>
      <c r="N13" s="2"/>
      <c r="O13" s="2"/>
      <c r="P13" s="2"/>
      <c r="Q13" s="2"/>
      <c r="R13" s="2"/>
      <c r="S13" s="2"/>
      <c r="T13" s="2"/>
      <c r="U13" s="2"/>
      <c r="V13" s="2"/>
      <c r="W13" s="2"/>
      <c r="X13" s="2"/>
      <c r="Y13" s="2"/>
      <c r="Z13" s="2"/>
    </row>
    <row r="14" spans="1:26" x14ac:dyDescent="0.2">
      <c r="A14" s="3" t="s">
        <v>50</v>
      </c>
      <c r="B14" s="3" t="s">
        <v>51</v>
      </c>
      <c r="C14" s="3" t="s">
        <v>52</v>
      </c>
      <c r="D14" s="3" t="s">
        <v>53</v>
      </c>
      <c r="E14" s="3" t="s">
        <v>48</v>
      </c>
      <c r="F14" s="3" t="s">
        <v>54</v>
      </c>
      <c r="G14" s="3">
        <v>4</v>
      </c>
      <c r="H14" s="2"/>
      <c r="I14" s="2"/>
      <c r="J14" s="2"/>
      <c r="K14" s="2"/>
      <c r="L14" s="2"/>
      <c r="M14" s="2"/>
      <c r="N14" s="2"/>
      <c r="O14" s="2"/>
      <c r="P14" s="2"/>
      <c r="Q14" s="2"/>
      <c r="R14" s="2"/>
      <c r="S14" s="2"/>
      <c r="T14" s="2"/>
      <c r="U14" s="2"/>
      <c r="V14" s="2"/>
      <c r="W14" s="2"/>
      <c r="X14" s="2"/>
      <c r="Y14" s="2"/>
      <c r="Z14" s="2"/>
    </row>
    <row r="15" spans="1:26" x14ac:dyDescent="0.2">
      <c r="A15" s="3" t="s">
        <v>55</v>
      </c>
      <c r="B15" s="3" t="s">
        <v>56</v>
      </c>
      <c r="C15" s="3" t="s">
        <v>57</v>
      </c>
      <c r="D15" s="3" t="s">
        <v>58</v>
      </c>
      <c r="E15" s="3" t="s">
        <v>59</v>
      </c>
      <c r="F15" s="3" t="s">
        <v>60</v>
      </c>
      <c r="G15" s="3">
        <v>3</v>
      </c>
      <c r="H15" s="2"/>
      <c r="I15" s="2"/>
      <c r="J15" s="2"/>
      <c r="K15" s="2"/>
      <c r="L15" s="2"/>
      <c r="M15" s="2"/>
      <c r="N15" s="2"/>
      <c r="O15" s="2"/>
      <c r="P15" s="2"/>
      <c r="Q15" s="2"/>
      <c r="R15" s="2"/>
      <c r="S15" s="2"/>
      <c r="T15" s="2"/>
      <c r="U15" s="2"/>
      <c r="V15" s="2"/>
      <c r="W15" s="2"/>
      <c r="X15" s="2"/>
      <c r="Y15" s="2"/>
      <c r="Z15" s="2"/>
    </row>
    <row r="16" spans="1:26" x14ac:dyDescent="0.2">
      <c r="A16" s="3" t="s">
        <v>61</v>
      </c>
      <c r="B16" s="3" t="s">
        <v>51</v>
      </c>
      <c r="C16" s="3" t="s">
        <v>62</v>
      </c>
      <c r="D16" s="3" t="s">
        <v>53</v>
      </c>
      <c r="E16" s="3" t="s">
        <v>48</v>
      </c>
      <c r="F16" s="3" t="s">
        <v>54</v>
      </c>
      <c r="G16" s="3">
        <v>1</v>
      </c>
      <c r="H16" s="2"/>
      <c r="I16" s="2"/>
      <c r="J16" s="2"/>
      <c r="K16" s="2"/>
      <c r="L16" s="2"/>
      <c r="M16" s="2"/>
      <c r="N16" s="2"/>
      <c r="O16" s="2"/>
      <c r="P16" s="2"/>
      <c r="Q16" s="2"/>
      <c r="R16" s="2"/>
      <c r="S16" s="2"/>
      <c r="T16" s="2"/>
      <c r="U16" s="2"/>
      <c r="V16" s="2"/>
      <c r="W16" s="2"/>
      <c r="X16" s="2"/>
      <c r="Y16" s="2"/>
      <c r="Z16" s="2"/>
    </row>
    <row r="17" spans="1:26" x14ac:dyDescent="0.2">
      <c r="A17" s="1" t="s">
        <v>35</v>
      </c>
      <c r="B17" s="2"/>
      <c r="C17" s="2"/>
      <c r="D17" s="2"/>
      <c r="E17" s="2"/>
      <c r="F17" s="2"/>
      <c r="G17" s="3" t="s">
        <v>18</v>
      </c>
      <c r="H17" s="2"/>
      <c r="I17" s="3" t="s">
        <v>148</v>
      </c>
      <c r="J17" s="2"/>
      <c r="K17" s="2"/>
      <c r="L17" s="2"/>
      <c r="M17" s="2"/>
      <c r="N17" s="2"/>
      <c r="O17" s="2"/>
      <c r="P17" s="2"/>
      <c r="Q17" s="2"/>
      <c r="R17" s="2"/>
      <c r="S17" s="2"/>
      <c r="T17" s="2"/>
      <c r="U17" s="2"/>
      <c r="V17" s="2"/>
      <c r="W17" s="2"/>
      <c r="X17" s="2"/>
      <c r="Y17" s="2"/>
      <c r="Z17" s="2"/>
    </row>
    <row r="18" spans="1:26" x14ac:dyDescent="0.2">
      <c r="A18" s="3" t="s">
        <v>139</v>
      </c>
      <c r="B18" s="2"/>
      <c r="C18" s="3" t="s">
        <v>116</v>
      </c>
      <c r="D18" s="3" t="s">
        <v>9</v>
      </c>
      <c r="E18" s="3" t="s">
        <v>9</v>
      </c>
      <c r="F18" s="2"/>
      <c r="G18" s="3" t="s">
        <v>9</v>
      </c>
      <c r="H18" s="2"/>
      <c r="I18" s="2"/>
      <c r="J18" s="2"/>
      <c r="K18" s="2"/>
      <c r="L18" s="2"/>
      <c r="M18" s="2"/>
      <c r="N18" s="2"/>
      <c r="O18" s="2"/>
      <c r="P18" s="2"/>
      <c r="Q18" s="2"/>
      <c r="R18" s="2"/>
      <c r="S18" s="2"/>
      <c r="T18" s="2"/>
      <c r="U18" s="2"/>
      <c r="V18" s="2"/>
      <c r="W18" s="2"/>
      <c r="X18" s="2"/>
      <c r="Y18" s="2"/>
      <c r="Z18" s="2"/>
    </row>
    <row r="19" spans="1:26" x14ac:dyDescent="0.2">
      <c r="A19" s="3" t="s">
        <v>117</v>
      </c>
      <c r="B19" s="3" t="s">
        <v>118</v>
      </c>
      <c r="C19" s="3" t="s">
        <v>119</v>
      </c>
      <c r="D19" s="3" t="s">
        <v>120</v>
      </c>
      <c r="E19" s="3" t="s">
        <v>76</v>
      </c>
      <c r="F19" s="3" t="s">
        <v>121</v>
      </c>
      <c r="G19" s="3">
        <v>4</v>
      </c>
      <c r="H19" s="2"/>
      <c r="I19" s="2"/>
      <c r="J19" s="2"/>
      <c r="K19" s="2"/>
      <c r="L19" s="2"/>
      <c r="M19" s="2"/>
      <c r="N19" s="2"/>
      <c r="O19" s="2"/>
      <c r="P19" s="2"/>
      <c r="Q19" s="2"/>
      <c r="R19" s="2"/>
      <c r="S19" s="2"/>
      <c r="T19" s="2"/>
      <c r="U19" s="2"/>
      <c r="V19" s="2"/>
      <c r="W19" s="2"/>
      <c r="X19" s="2"/>
      <c r="Y19" s="2"/>
      <c r="Z19" s="2"/>
    </row>
    <row r="20" spans="1:26" x14ac:dyDescent="0.2">
      <c r="A20" s="3" t="s">
        <v>122</v>
      </c>
      <c r="B20" s="3" t="s">
        <v>99</v>
      </c>
      <c r="C20" s="3" t="s">
        <v>123</v>
      </c>
      <c r="D20" s="3" t="s">
        <v>101</v>
      </c>
      <c r="E20" s="3" t="s">
        <v>25</v>
      </c>
      <c r="F20" s="3" t="s">
        <v>121</v>
      </c>
      <c r="G20" s="3">
        <v>4</v>
      </c>
      <c r="H20" s="2"/>
      <c r="I20" s="2"/>
      <c r="J20" s="2"/>
      <c r="K20" s="2"/>
      <c r="L20" s="2"/>
      <c r="M20" s="2"/>
      <c r="N20" s="2"/>
      <c r="O20" s="2"/>
      <c r="P20" s="2"/>
      <c r="Q20" s="2"/>
      <c r="R20" s="2"/>
      <c r="S20" s="2"/>
      <c r="T20" s="2"/>
      <c r="U20" s="2"/>
      <c r="V20" s="2"/>
      <c r="W20" s="2"/>
      <c r="X20" s="2"/>
      <c r="Y20" s="2"/>
      <c r="Z20" s="2"/>
    </row>
    <row r="21" spans="1:26" x14ac:dyDescent="0.2">
      <c r="A21" s="3" t="s">
        <v>124</v>
      </c>
      <c r="B21" s="3" t="s">
        <v>125</v>
      </c>
      <c r="C21" s="3" t="s">
        <v>126</v>
      </c>
      <c r="D21" s="3" t="s">
        <v>127</v>
      </c>
      <c r="E21" s="3" t="s">
        <v>76</v>
      </c>
      <c r="F21" s="3" t="s">
        <v>121</v>
      </c>
      <c r="G21" s="3">
        <v>4</v>
      </c>
      <c r="H21" s="2"/>
      <c r="I21" s="3" t="s">
        <v>149</v>
      </c>
      <c r="J21" s="2"/>
      <c r="K21" s="2"/>
      <c r="L21" s="2"/>
      <c r="M21" s="2"/>
      <c r="N21" s="2"/>
      <c r="O21" s="2"/>
      <c r="P21" s="2"/>
      <c r="Q21" s="2"/>
      <c r="R21" s="2"/>
      <c r="S21" s="2"/>
      <c r="T21" s="2"/>
      <c r="U21" s="2"/>
      <c r="V21" s="2"/>
      <c r="W21" s="2"/>
      <c r="X21" s="2"/>
      <c r="Y21" s="2"/>
      <c r="Z21" s="2"/>
    </row>
    <row r="22" spans="1:26" x14ac:dyDescent="0.2">
      <c r="A22" s="3" t="s">
        <v>128</v>
      </c>
      <c r="B22" s="3" t="s">
        <v>99</v>
      </c>
      <c r="C22" s="3" t="s">
        <v>129</v>
      </c>
      <c r="D22" s="3" t="s">
        <v>101</v>
      </c>
      <c r="E22" s="3" t="s">
        <v>25</v>
      </c>
      <c r="F22" s="3" t="s">
        <v>102</v>
      </c>
      <c r="G22" s="3">
        <v>5</v>
      </c>
      <c r="H22" s="2"/>
      <c r="I22" s="3" t="s">
        <v>150</v>
      </c>
      <c r="J22" s="2"/>
      <c r="K22" s="2"/>
      <c r="L22" s="2"/>
      <c r="M22" s="2"/>
      <c r="N22" s="2"/>
      <c r="O22" s="2"/>
      <c r="P22" s="2"/>
      <c r="Q22" s="2"/>
      <c r="R22" s="2"/>
      <c r="S22" s="2"/>
      <c r="T22" s="2"/>
      <c r="U22" s="2"/>
      <c r="V22" s="2"/>
      <c r="W22" s="2"/>
      <c r="X22" s="2"/>
      <c r="Y22" s="2"/>
      <c r="Z22" s="2"/>
    </row>
    <row r="23" spans="1:26" x14ac:dyDescent="0.2">
      <c r="A23" s="3" t="s">
        <v>130</v>
      </c>
      <c r="B23" s="3" t="s">
        <v>99</v>
      </c>
      <c r="C23" s="3" t="s">
        <v>131</v>
      </c>
      <c r="D23" s="3" t="s">
        <v>101</v>
      </c>
      <c r="E23" s="3" t="s">
        <v>25</v>
      </c>
      <c r="F23" s="3" t="s">
        <v>102</v>
      </c>
      <c r="G23" s="3" t="s">
        <v>18</v>
      </c>
      <c r="H23" s="2"/>
      <c r="I23" s="3" t="s">
        <v>151</v>
      </c>
      <c r="J23" s="2"/>
      <c r="K23" s="2"/>
      <c r="L23" s="2"/>
      <c r="M23" s="2"/>
      <c r="N23" s="2"/>
      <c r="O23" s="2"/>
      <c r="P23" s="2"/>
      <c r="Q23" s="2"/>
      <c r="R23" s="2"/>
      <c r="S23" s="2"/>
      <c r="T23" s="2"/>
      <c r="U23" s="2"/>
      <c r="V23" s="2"/>
      <c r="W23" s="2"/>
      <c r="X23" s="2"/>
      <c r="Y23" s="2"/>
      <c r="Z23" s="2"/>
    </row>
    <row r="24" spans="1:26" x14ac:dyDescent="0.2">
      <c r="A24" s="3" t="s">
        <v>132</v>
      </c>
      <c r="B24" s="3" t="s">
        <v>133</v>
      </c>
      <c r="C24" s="3" t="s">
        <v>134</v>
      </c>
      <c r="D24" s="3">
        <v>2020</v>
      </c>
      <c r="E24" s="3" t="s">
        <v>76</v>
      </c>
      <c r="F24" s="4" t="s">
        <v>135</v>
      </c>
      <c r="G24" s="3">
        <v>3</v>
      </c>
      <c r="H24" s="2"/>
      <c r="I24" s="2"/>
      <c r="J24" s="2"/>
      <c r="K24" s="2"/>
      <c r="L24" s="2"/>
      <c r="M24" s="2"/>
      <c r="N24" s="2"/>
      <c r="O24" s="2"/>
      <c r="P24" s="2"/>
      <c r="Q24" s="2"/>
      <c r="R24" s="2"/>
      <c r="S24" s="2"/>
      <c r="T24" s="2"/>
      <c r="U24" s="2"/>
      <c r="V24" s="2"/>
      <c r="W24" s="2"/>
      <c r="X24" s="2"/>
      <c r="Y24" s="2"/>
      <c r="Z24" s="2"/>
    </row>
    <row r="25" spans="1:26" x14ac:dyDescent="0.2">
      <c r="A25" s="1" t="s">
        <v>35</v>
      </c>
      <c r="B25" s="2"/>
      <c r="C25" s="2"/>
      <c r="D25" s="2"/>
      <c r="E25" s="2"/>
      <c r="F25" s="2"/>
      <c r="G25" s="2"/>
      <c r="H25" s="2"/>
      <c r="I25" s="3" t="s">
        <v>152</v>
      </c>
      <c r="J25" s="2"/>
      <c r="K25" s="2"/>
      <c r="L25" s="2"/>
      <c r="M25" s="2"/>
      <c r="N25" s="2"/>
      <c r="O25" s="2"/>
      <c r="P25" s="2"/>
      <c r="Q25" s="2"/>
      <c r="R25" s="2"/>
      <c r="S25" s="2"/>
      <c r="T25" s="2"/>
      <c r="U25" s="2"/>
      <c r="V25" s="2"/>
      <c r="W25" s="2"/>
      <c r="X25" s="2"/>
      <c r="Y25" s="2"/>
      <c r="Z25" s="2"/>
    </row>
    <row r="26" spans="1:26" x14ac:dyDescent="0.2">
      <c r="A26" s="2"/>
      <c r="B26" s="2"/>
      <c r="C26" s="2"/>
      <c r="D26" s="2"/>
      <c r="E26" s="2"/>
      <c r="F26" s="2"/>
      <c r="G26" s="3" t="s">
        <v>9</v>
      </c>
      <c r="H26" s="2"/>
      <c r="I26" s="2"/>
      <c r="J26" s="2"/>
      <c r="K26" s="2"/>
      <c r="L26" s="2"/>
      <c r="M26" s="2"/>
      <c r="N26" s="2"/>
      <c r="O26" s="2"/>
      <c r="P26" s="2"/>
      <c r="Q26" s="2"/>
      <c r="R26" s="2"/>
      <c r="S26" s="2"/>
      <c r="T26" s="2"/>
      <c r="U26" s="2"/>
      <c r="V26" s="2"/>
      <c r="W26" s="2"/>
      <c r="X26" s="2"/>
      <c r="Y26" s="2"/>
      <c r="Z26" s="2"/>
    </row>
    <row r="27" spans="1:26" x14ac:dyDescent="0.2">
      <c r="A27" s="3" t="s">
        <v>63</v>
      </c>
      <c r="B27" s="2"/>
      <c r="C27" s="3" t="s">
        <v>64</v>
      </c>
      <c r="D27" s="3" t="s">
        <v>9</v>
      </c>
      <c r="E27" s="3" t="s">
        <v>9</v>
      </c>
      <c r="F27" s="2"/>
      <c r="G27" s="3" t="s">
        <v>9</v>
      </c>
      <c r="H27" s="2"/>
      <c r="I27" s="2"/>
      <c r="J27" s="2"/>
      <c r="K27" s="2"/>
      <c r="L27" s="2"/>
      <c r="M27" s="2"/>
      <c r="N27" s="2"/>
      <c r="O27" s="2"/>
      <c r="P27" s="2"/>
      <c r="Q27" s="2"/>
      <c r="R27" s="2"/>
      <c r="S27" s="2"/>
      <c r="T27" s="2"/>
      <c r="U27" s="2"/>
      <c r="V27" s="2"/>
      <c r="W27" s="2"/>
      <c r="X27" s="2"/>
      <c r="Y27" s="2"/>
      <c r="Z27" s="2"/>
    </row>
    <row r="28" spans="1:26" x14ac:dyDescent="0.2">
      <c r="A28" s="3" t="s">
        <v>65</v>
      </c>
      <c r="B28" s="2"/>
      <c r="C28" s="3" t="s">
        <v>66</v>
      </c>
      <c r="D28" s="3" t="s">
        <v>9</v>
      </c>
      <c r="E28" s="3" t="s">
        <v>9</v>
      </c>
      <c r="F28" s="2"/>
      <c r="G28" s="3" t="s">
        <v>9</v>
      </c>
      <c r="H28" s="2"/>
      <c r="I28" s="2"/>
      <c r="J28" s="2"/>
      <c r="K28" s="2"/>
      <c r="L28" s="2"/>
      <c r="M28" s="2"/>
      <c r="N28" s="2"/>
      <c r="O28" s="2"/>
      <c r="P28" s="2"/>
      <c r="Q28" s="2"/>
      <c r="R28" s="2"/>
      <c r="S28" s="2"/>
      <c r="T28" s="2"/>
      <c r="U28" s="2"/>
      <c r="V28" s="2"/>
      <c r="W28" s="2"/>
      <c r="X28" s="2"/>
      <c r="Y28" s="2"/>
      <c r="Z28" s="2"/>
    </row>
    <row r="29" spans="1:26" x14ac:dyDescent="0.2">
      <c r="A29" s="3" t="s">
        <v>67</v>
      </c>
      <c r="B29" s="3" t="s">
        <v>68</v>
      </c>
      <c r="C29" s="3" t="s">
        <v>69</v>
      </c>
      <c r="D29" s="3">
        <v>2017</v>
      </c>
      <c r="E29" s="3" t="s">
        <v>70</v>
      </c>
      <c r="F29" s="3" t="s">
        <v>71</v>
      </c>
      <c r="G29" s="3">
        <v>4</v>
      </c>
      <c r="H29" s="2"/>
      <c r="I29" s="2"/>
      <c r="J29" s="2"/>
      <c r="K29" s="2"/>
      <c r="L29" s="2"/>
      <c r="M29" s="2"/>
      <c r="N29" s="2"/>
      <c r="O29" s="2"/>
      <c r="P29" s="2"/>
      <c r="Q29" s="2"/>
      <c r="R29" s="2"/>
      <c r="S29" s="2"/>
      <c r="T29" s="2"/>
      <c r="U29" s="2"/>
      <c r="V29" s="2"/>
      <c r="W29" s="2"/>
      <c r="X29" s="2"/>
      <c r="Y29" s="2"/>
      <c r="Z29" s="2"/>
    </row>
    <row r="30" spans="1:26" x14ac:dyDescent="0.2">
      <c r="A30" s="3" t="s">
        <v>72</v>
      </c>
      <c r="B30" s="3" t="s">
        <v>73</v>
      </c>
      <c r="C30" s="3" t="s">
        <v>74</v>
      </c>
      <c r="D30" s="3" t="s">
        <v>75</v>
      </c>
      <c r="E30" s="3" t="s">
        <v>76</v>
      </c>
      <c r="F30" s="3" t="s">
        <v>77</v>
      </c>
      <c r="G30" s="3">
        <v>5</v>
      </c>
      <c r="H30" s="2"/>
      <c r="I30" s="2"/>
      <c r="J30" s="2"/>
      <c r="K30" s="2"/>
      <c r="L30" s="2"/>
      <c r="M30" s="2"/>
      <c r="N30" s="2"/>
      <c r="O30" s="2"/>
      <c r="P30" s="2"/>
      <c r="Q30" s="2"/>
      <c r="R30" s="2"/>
      <c r="S30" s="2"/>
      <c r="T30" s="2"/>
      <c r="U30" s="2"/>
      <c r="V30" s="2"/>
      <c r="W30" s="2"/>
      <c r="X30" s="2"/>
      <c r="Y30" s="2"/>
      <c r="Z30" s="2"/>
    </row>
    <row r="31" spans="1:26" x14ac:dyDescent="0.2">
      <c r="A31" s="3" t="s">
        <v>78</v>
      </c>
      <c r="B31" s="3" t="s">
        <v>79</v>
      </c>
      <c r="C31" s="3" t="s">
        <v>80</v>
      </c>
      <c r="D31" s="3" t="s">
        <v>81</v>
      </c>
      <c r="E31" s="3" t="s">
        <v>76</v>
      </c>
      <c r="F31" s="3" t="s">
        <v>82</v>
      </c>
      <c r="G31" s="3">
        <v>5</v>
      </c>
      <c r="H31" s="2"/>
      <c r="I31" s="2"/>
      <c r="J31" s="2"/>
      <c r="K31" s="2"/>
      <c r="L31" s="2"/>
      <c r="M31" s="2"/>
      <c r="N31" s="2"/>
      <c r="O31" s="2"/>
      <c r="P31" s="2"/>
      <c r="Q31" s="2"/>
      <c r="R31" s="2"/>
      <c r="S31" s="2"/>
      <c r="T31" s="2"/>
      <c r="U31" s="2"/>
      <c r="V31" s="2"/>
      <c r="W31" s="2"/>
      <c r="X31" s="2"/>
      <c r="Y31" s="2"/>
      <c r="Z31" s="2"/>
    </row>
    <row r="32" spans="1:26" x14ac:dyDescent="0.2">
      <c r="A32" s="3" t="s">
        <v>83</v>
      </c>
      <c r="B32" s="3" t="s">
        <v>84</v>
      </c>
      <c r="C32" s="3" t="s">
        <v>85</v>
      </c>
      <c r="D32" s="3" t="s">
        <v>86</v>
      </c>
      <c r="E32" s="3" t="s">
        <v>76</v>
      </c>
      <c r="F32" s="3" t="s">
        <v>87</v>
      </c>
      <c r="G32" s="3">
        <v>5</v>
      </c>
      <c r="H32" s="2"/>
      <c r="I32" s="2"/>
      <c r="J32" s="2"/>
      <c r="K32" s="2"/>
      <c r="L32" s="2"/>
      <c r="M32" s="2"/>
      <c r="N32" s="2"/>
      <c r="O32" s="2"/>
      <c r="P32" s="2"/>
      <c r="Q32" s="2"/>
      <c r="R32" s="2"/>
      <c r="S32" s="2"/>
      <c r="T32" s="2"/>
      <c r="U32" s="2"/>
      <c r="V32" s="2"/>
      <c r="W32" s="2"/>
      <c r="X32" s="2"/>
      <c r="Y32" s="2"/>
      <c r="Z32" s="2"/>
    </row>
    <row r="33" spans="1:26" x14ac:dyDescent="0.2">
      <c r="A33" s="3" t="s">
        <v>88</v>
      </c>
      <c r="B33" s="3" t="s">
        <v>89</v>
      </c>
      <c r="C33" s="3" t="s">
        <v>90</v>
      </c>
      <c r="D33" s="3" t="s">
        <v>81</v>
      </c>
      <c r="E33" s="3" t="s">
        <v>91</v>
      </c>
      <c r="F33" s="3" t="s">
        <v>92</v>
      </c>
      <c r="G33" s="3">
        <v>5</v>
      </c>
      <c r="H33" s="2"/>
      <c r="I33" s="2"/>
      <c r="J33" s="2"/>
      <c r="K33" s="2"/>
      <c r="L33" s="2"/>
      <c r="M33" s="2"/>
      <c r="N33" s="2"/>
      <c r="O33" s="2"/>
      <c r="P33" s="2"/>
      <c r="Q33" s="2"/>
      <c r="R33" s="2"/>
      <c r="S33" s="2"/>
      <c r="T33" s="2"/>
      <c r="U33" s="2"/>
      <c r="V33" s="2"/>
      <c r="W33" s="2"/>
      <c r="X33" s="2"/>
      <c r="Y33" s="2"/>
      <c r="Z33" s="2"/>
    </row>
    <row r="34" spans="1:26" x14ac:dyDescent="0.2">
      <c r="A34" s="3" t="s">
        <v>93</v>
      </c>
      <c r="B34" s="3" t="s">
        <v>94</v>
      </c>
      <c r="C34" s="3" t="s">
        <v>95</v>
      </c>
      <c r="D34" s="3" t="s">
        <v>96</v>
      </c>
      <c r="E34" s="3" t="s">
        <v>91</v>
      </c>
      <c r="F34" s="3" t="s">
        <v>97</v>
      </c>
      <c r="G34" s="3">
        <v>4</v>
      </c>
      <c r="H34" s="2"/>
      <c r="I34" s="2"/>
      <c r="J34" s="2"/>
      <c r="K34" s="2"/>
      <c r="L34" s="2"/>
      <c r="M34" s="2"/>
      <c r="N34" s="2"/>
      <c r="O34" s="2"/>
      <c r="P34" s="2"/>
      <c r="Q34" s="2"/>
      <c r="R34" s="2"/>
      <c r="S34" s="2"/>
      <c r="T34" s="2"/>
      <c r="U34" s="2"/>
      <c r="V34" s="2"/>
      <c r="W34" s="2"/>
      <c r="X34" s="2"/>
      <c r="Y34" s="2"/>
      <c r="Z34" s="2"/>
    </row>
    <row r="35" spans="1:26" x14ac:dyDescent="0.2">
      <c r="A35" s="3" t="s">
        <v>98</v>
      </c>
      <c r="B35" s="3" t="s">
        <v>99</v>
      </c>
      <c r="C35" s="3" t="s">
        <v>100</v>
      </c>
      <c r="D35" s="3" t="s">
        <v>101</v>
      </c>
      <c r="E35" s="3" t="s">
        <v>25</v>
      </c>
      <c r="F35" s="3" t="s">
        <v>102</v>
      </c>
      <c r="G35" s="3">
        <v>3</v>
      </c>
      <c r="H35" s="2"/>
      <c r="I35" s="2"/>
      <c r="J35" s="2"/>
      <c r="K35" s="2"/>
      <c r="L35" s="2"/>
      <c r="M35" s="2"/>
      <c r="N35" s="2"/>
      <c r="O35" s="2"/>
      <c r="P35" s="2"/>
      <c r="Q35" s="2"/>
      <c r="R35" s="2"/>
      <c r="S35" s="2"/>
      <c r="T35" s="2"/>
      <c r="U35" s="2"/>
      <c r="V35" s="2"/>
      <c r="W35" s="2"/>
      <c r="X35" s="2"/>
      <c r="Y35" s="2"/>
      <c r="Z35" s="2"/>
    </row>
    <row r="36" spans="1:26" x14ac:dyDescent="0.2">
      <c r="A36" s="1" t="s">
        <v>35</v>
      </c>
      <c r="B36" s="2"/>
      <c r="C36" s="2"/>
      <c r="D36" s="2"/>
      <c r="E36" s="2"/>
      <c r="F36" s="2"/>
      <c r="G36" s="3" t="s">
        <v>18</v>
      </c>
      <c r="H36" s="2"/>
      <c r="I36" s="2"/>
      <c r="J36" s="2"/>
      <c r="K36" s="2"/>
      <c r="L36" s="2"/>
      <c r="M36" s="2"/>
      <c r="N36" s="2"/>
      <c r="O36" s="2"/>
      <c r="P36" s="2"/>
      <c r="Q36" s="2"/>
      <c r="R36" s="2"/>
      <c r="S36" s="2"/>
      <c r="T36" s="2"/>
      <c r="U36" s="2"/>
      <c r="V36" s="2"/>
      <c r="W36" s="2"/>
      <c r="X36" s="2"/>
      <c r="Y36" s="2"/>
      <c r="Z36" s="2"/>
    </row>
    <row r="37" spans="1:26" x14ac:dyDescent="0.2">
      <c r="A37" s="3" t="s">
        <v>103</v>
      </c>
      <c r="B37" s="2"/>
      <c r="C37" s="3" t="s">
        <v>104</v>
      </c>
      <c r="D37" s="3" t="s">
        <v>9</v>
      </c>
      <c r="E37" s="3" t="s">
        <v>9</v>
      </c>
      <c r="F37" s="2"/>
      <c r="G37" s="3" t="s">
        <v>9</v>
      </c>
      <c r="H37" s="2"/>
      <c r="I37" s="2"/>
      <c r="J37" s="2"/>
      <c r="K37" s="2"/>
      <c r="L37" s="2"/>
      <c r="M37" s="2"/>
      <c r="N37" s="2"/>
      <c r="O37" s="2"/>
      <c r="P37" s="2"/>
      <c r="Q37" s="2"/>
      <c r="R37" s="2"/>
      <c r="S37" s="2"/>
      <c r="T37" s="2"/>
      <c r="U37" s="2"/>
      <c r="V37" s="2"/>
      <c r="W37" s="2"/>
      <c r="X37" s="2"/>
      <c r="Y37" s="2"/>
      <c r="Z37" s="2"/>
    </row>
    <row r="38" spans="1:26" x14ac:dyDescent="0.2">
      <c r="A38" s="3" t="s">
        <v>105</v>
      </c>
      <c r="B38" s="3" t="s">
        <v>106</v>
      </c>
      <c r="C38" s="3" t="s">
        <v>107</v>
      </c>
      <c r="D38" s="3" t="s">
        <v>108</v>
      </c>
      <c r="E38" s="3" t="s">
        <v>109</v>
      </c>
      <c r="F38" s="2"/>
      <c r="G38" s="3">
        <v>3</v>
      </c>
      <c r="H38" s="2"/>
      <c r="I38" s="2"/>
      <c r="J38" s="2"/>
      <c r="K38" s="2"/>
      <c r="L38" s="2"/>
      <c r="M38" s="2"/>
      <c r="N38" s="2"/>
      <c r="O38" s="2"/>
      <c r="P38" s="2"/>
      <c r="Q38" s="2"/>
      <c r="R38" s="2"/>
      <c r="S38" s="2"/>
      <c r="T38" s="2"/>
      <c r="U38" s="2"/>
      <c r="V38" s="2"/>
      <c r="W38" s="2"/>
      <c r="X38" s="2"/>
      <c r="Y38" s="2"/>
      <c r="Z38" s="2"/>
    </row>
    <row r="39" spans="1:26" x14ac:dyDescent="0.2">
      <c r="A39" s="3" t="s">
        <v>110</v>
      </c>
      <c r="B39" s="3" t="s">
        <v>106</v>
      </c>
      <c r="C39" s="3" t="s">
        <v>111</v>
      </c>
      <c r="D39" s="3" t="s">
        <v>108</v>
      </c>
      <c r="E39" s="3" t="s">
        <v>112</v>
      </c>
      <c r="F39" s="2"/>
      <c r="G39" s="3">
        <v>2</v>
      </c>
      <c r="H39" s="2"/>
      <c r="I39" s="2"/>
      <c r="J39" s="2"/>
      <c r="K39" s="2"/>
      <c r="L39" s="2"/>
      <c r="M39" s="2"/>
      <c r="N39" s="2"/>
      <c r="O39" s="2"/>
      <c r="P39" s="2"/>
      <c r="Q39" s="2"/>
      <c r="R39" s="2"/>
      <c r="S39" s="2"/>
      <c r="T39" s="2"/>
      <c r="U39" s="2"/>
      <c r="V39" s="2"/>
      <c r="W39" s="2"/>
      <c r="X39" s="2"/>
      <c r="Y39" s="2"/>
      <c r="Z39" s="2"/>
    </row>
    <row r="40" spans="1:26" x14ac:dyDescent="0.2">
      <c r="A40" s="3" t="s">
        <v>113</v>
      </c>
      <c r="B40" s="3" t="s">
        <v>106</v>
      </c>
      <c r="C40" s="3" t="s">
        <v>114</v>
      </c>
      <c r="D40" s="3" t="s">
        <v>108</v>
      </c>
      <c r="E40" s="3" t="s">
        <v>115</v>
      </c>
      <c r="F40" s="2"/>
      <c r="G40" s="3">
        <v>1</v>
      </c>
      <c r="H40" s="2"/>
      <c r="I40" s="2"/>
      <c r="J40" s="2"/>
      <c r="K40" s="2"/>
      <c r="L40" s="2"/>
      <c r="M40" s="2"/>
      <c r="N40" s="2"/>
      <c r="O40" s="2"/>
      <c r="P40" s="2"/>
      <c r="Q40" s="2"/>
      <c r="R40" s="2"/>
      <c r="S40" s="2"/>
      <c r="T40" s="2"/>
      <c r="U40" s="2"/>
      <c r="V40" s="2"/>
      <c r="W40" s="2"/>
      <c r="X40" s="2"/>
      <c r="Y40" s="2"/>
      <c r="Z40" s="2"/>
    </row>
    <row r="41" spans="1:26" x14ac:dyDescent="0.2">
      <c r="A41" s="1" t="s">
        <v>35</v>
      </c>
      <c r="B41" s="2"/>
      <c r="C41" s="2"/>
      <c r="D41" s="2"/>
      <c r="E41" s="2"/>
      <c r="F41" s="2"/>
      <c r="G41" s="3" t="s">
        <v>18</v>
      </c>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ef="F24" r:id="rId1" xr:uid="{ADCE5B60-0D16-7F4A-B0BB-F217C40B7E3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925A9-E66A-C04B-84C7-03AF8A5163D3}">
  <dimension ref="A1:Z1000"/>
  <sheetViews>
    <sheetView workbookViewId="0">
      <selection activeCell="I16" sqref="I16"/>
    </sheetView>
  </sheetViews>
  <sheetFormatPr baseColWidth="10" defaultRowHeight="16" x14ac:dyDescent="0.2"/>
  <cols>
    <col min="1" max="1" width="30.83203125" customWidth="1"/>
    <col min="7" max="7" width="24.33203125" customWidth="1"/>
  </cols>
  <sheetData>
    <row r="1" spans="1:26" x14ac:dyDescent="0.2">
      <c r="A1" s="1" t="s">
        <v>0</v>
      </c>
      <c r="B1" s="1" t="s">
        <v>1</v>
      </c>
      <c r="C1" s="1" t="s">
        <v>2</v>
      </c>
      <c r="D1" s="1" t="s">
        <v>3</v>
      </c>
      <c r="E1" s="1" t="s">
        <v>4</v>
      </c>
      <c r="F1" s="1" t="s">
        <v>5</v>
      </c>
      <c r="G1" s="1" t="s">
        <v>6</v>
      </c>
      <c r="H1" s="2"/>
      <c r="I1" s="1" t="s">
        <v>136</v>
      </c>
      <c r="J1" s="2"/>
      <c r="K1" s="2"/>
      <c r="L1" s="2"/>
      <c r="M1" s="2"/>
      <c r="N1" s="2"/>
      <c r="O1" s="2"/>
      <c r="P1" s="2"/>
      <c r="Q1" s="2"/>
      <c r="R1" s="2"/>
      <c r="S1" s="2"/>
      <c r="T1" s="2"/>
      <c r="U1" s="2"/>
      <c r="V1" s="2"/>
      <c r="W1" s="2"/>
      <c r="X1" s="2"/>
      <c r="Y1" s="2"/>
      <c r="Z1" s="2"/>
    </row>
    <row r="2" spans="1:26" x14ac:dyDescent="0.2">
      <c r="A2" s="2"/>
      <c r="B2" s="2"/>
      <c r="C2" s="2"/>
      <c r="D2" s="2"/>
      <c r="E2" s="2"/>
      <c r="F2" s="2"/>
      <c r="G2" s="3" t="s">
        <v>153</v>
      </c>
      <c r="H2" s="3" t="s">
        <v>154</v>
      </c>
      <c r="I2" s="2"/>
      <c r="J2" s="2"/>
      <c r="K2" s="2"/>
      <c r="L2" s="2"/>
      <c r="M2" s="2"/>
      <c r="N2" s="2"/>
      <c r="O2" s="2"/>
      <c r="P2" s="2"/>
      <c r="Q2" s="2"/>
      <c r="R2" s="2"/>
      <c r="S2" s="2"/>
      <c r="T2" s="2"/>
      <c r="U2" s="2"/>
      <c r="V2" s="2"/>
      <c r="W2" s="2"/>
      <c r="X2" s="2"/>
      <c r="Y2" s="2"/>
      <c r="Z2" s="2"/>
    </row>
    <row r="3" spans="1:26" x14ac:dyDescent="0.2">
      <c r="A3" s="3" t="s">
        <v>7</v>
      </c>
      <c r="B3" s="2"/>
      <c r="C3" s="3" t="s">
        <v>8</v>
      </c>
      <c r="D3" s="3" t="s">
        <v>9</v>
      </c>
      <c r="E3" s="3" t="s">
        <v>9</v>
      </c>
      <c r="F3" s="2"/>
      <c r="G3" s="3" t="s">
        <v>9</v>
      </c>
      <c r="H3" s="2"/>
      <c r="I3" s="2"/>
      <c r="J3" s="2"/>
      <c r="K3" s="2"/>
      <c r="L3" s="2"/>
      <c r="M3" s="2"/>
      <c r="N3" s="2"/>
      <c r="O3" s="2"/>
      <c r="P3" s="2"/>
      <c r="Q3" s="2"/>
      <c r="R3" s="2"/>
      <c r="S3" s="2"/>
      <c r="T3" s="2"/>
      <c r="U3" s="2"/>
      <c r="V3" s="2"/>
      <c r="W3" s="2"/>
      <c r="X3" s="2"/>
      <c r="Y3" s="2"/>
      <c r="Z3" s="2"/>
    </row>
    <row r="4" spans="1:26" x14ac:dyDescent="0.2">
      <c r="A4" s="3" t="s">
        <v>10</v>
      </c>
      <c r="B4" s="2"/>
      <c r="C4" s="3" t="s">
        <v>11</v>
      </c>
      <c r="D4" s="3" t="s">
        <v>9</v>
      </c>
      <c r="E4" s="3" t="s">
        <v>9</v>
      </c>
      <c r="F4" s="2"/>
      <c r="G4" s="3" t="s">
        <v>9</v>
      </c>
      <c r="H4" s="2"/>
      <c r="I4" s="2"/>
      <c r="J4" s="2"/>
      <c r="K4" s="2"/>
      <c r="L4" s="2"/>
      <c r="M4" s="2"/>
      <c r="N4" s="2"/>
      <c r="O4" s="2"/>
      <c r="P4" s="2"/>
      <c r="Q4" s="2"/>
      <c r="R4" s="2"/>
      <c r="S4" s="2"/>
      <c r="T4" s="2"/>
      <c r="U4" s="2"/>
      <c r="V4" s="2"/>
      <c r="W4" s="2"/>
      <c r="X4" s="2"/>
      <c r="Y4" s="2"/>
      <c r="Z4" s="2"/>
    </row>
    <row r="5" spans="1:26" x14ac:dyDescent="0.2">
      <c r="A5" s="3" t="s">
        <v>12</v>
      </c>
      <c r="B5" s="3" t="s">
        <v>13</v>
      </c>
      <c r="C5" s="3" t="s">
        <v>14</v>
      </c>
      <c r="D5" s="3" t="s">
        <v>15</v>
      </c>
      <c r="E5" s="3" t="s">
        <v>16</v>
      </c>
      <c r="F5" s="3" t="s">
        <v>17</v>
      </c>
      <c r="G5" s="3">
        <v>3</v>
      </c>
      <c r="H5" s="3">
        <v>5</v>
      </c>
      <c r="I5" s="3" t="s">
        <v>155</v>
      </c>
      <c r="J5" s="2"/>
      <c r="K5" s="2"/>
      <c r="L5" s="2"/>
      <c r="M5" s="2"/>
      <c r="N5" s="2"/>
      <c r="O5" s="2"/>
      <c r="P5" s="2"/>
      <c r="Q5" s="2"/>
      <c r="R5" s="2"/>
      <c r="S5" s="2"/>
      <c r="T5" s="2"/>
      <c r="U5" s="2"/>
      <c r="V5" s="2"/>
      <c r="W5" s="2"/>
      <c r="X5" s="2"/>
      <c r="Y5" s="2"/>
      <c r="Z5" s="2"/>
    </row>
    <row r="6" spans="1:26" x14ac:dyDescent="0.2">
      <c r="A6" s="3" t="s">
        <v>19</v>
      </c>
      <c r="B6" s="3" t="s">
        <v>13</v>
      </c>
      <c r="C6" s="3" t="s">
        <v>20</v>
      </c>
      <c r="D6" s="3" t="s">
        <v>15</v>
      </c>
      <c r="E6" s="3" t="s">
        <v>16</v>
      </c>
      <c r="F6" s="3" t="s">
        <v>17</v>
      </c>
      <c r="G6" s="3">
        <v>3</v>
      </c>
      <c r="H6" s="3">
        <v>2</v>
      </c>
      <c r="I6" s="3" t="s">
        <v>156</v>
      </c>
      <c r="J6" s="2"/>
      <c r="K6" s="2"/>
      <c r="L6" s="2"/>
      <c r="M6" s="2"/>
      <c r="N6" s="2"/>
      <c r="O6" s="2"/>
      <c r="P6" s="2"/>
      <c r="Q6" s="2"/>
      <c r="R6" s="2"/>
      <c r="S6" s="2"/>
      <c r="T6" s="2"/>
      <c r="U6" s="2"/>
      <c r="V6" s="2"/>
      <c r="W6" s="2"/>
      <c r="X6" s="2"/>
      <c r="Y6" s="2"/>
      <c r="Z6" s="2"/>
    </row>
    <row r="7" spans="1:26" x14ac:dyDescent="0.2">
      <c r="A7" s="3" t="s">
        <v>21</v>
      </c>
      <c r="B7" s="3" t="s">
        <v>22</v>
      </c>
      <c r="C7" s="3" t="s">
        <v>23</v>
      </c>
      <c r="D7" s="3" t="s">
        <v>24</v>
      </c>
      <c r="E7" s="3" t="s">
        <v>25</v>
      </c>
      <c r="F7" s="3" t="s">
        <v>26</v>
      </c>
      <c r="G7" s="3">
        <v>4</v>
      </c>
      <c r="H7" s="3">
        <v>2</v>
      </c>
      <c r="I7" s="3" t="s">
        <v>157</v>
      </c>
      <c r="J7" s="2"/>
      <c r="K7" s="2"/>
      <c r="L7" s="2"/>
      <c r="M7" s="2"/>
      <c r="N7" s="2"/>
      <c r="O7" s="2"/>
      <c r="P7" s="2"/>
      <c r="Q7" s="2"/>
      <c r="R7" s="2"/>
      <c r="S7" s="2"/>
      <c r="T7" s="2"/>
      <c r="U7" s="2"/>
      <c r="V7" s="2"/>
      <c r="W7" s="2"/>
      <c r="X7" s="2"/>
      <c r="Y7" s="2"/>
      <c r="Z7" s="2"/>
    </row>
    <row r="8" spans="1:26" x14ac:dyDescent="0.2">
      <c r="A8" s="3" t="s">
        <v>27</v>
      </c>
      <c r="B8" s="3" t="s">
        <v>28</v>
      </c>
      <c r="C8" s="3" t="s">
        <v>29</v>
      </c>
      <c r="D8" s="3" t="s">
        <v>30</v>
      </c>
      <c r="E8" s="3" t="s">
        <v>31</v>
      </c>
      <c r="F8" s="3" t="s">
        <v>32</v>
      </c>
      <c r="G8" s="3">
        <v>5</v>
      </c>
      <c r="H8" s="3">
        <v>5</v>
      </c>
      <c r="I8" s="3" t="s">
        <v>158</v>
      </c>
      <c r="J8" s="2"/>
      <c r="K8" s="2"/>
      <c r="L8" s="2"/>
      <c r="M8" s="2"/>
      <c r="N8" s="2"/>
      <c r="O8" s="2"/>
      <c r="P8" s="2"/>
      <c r="Q8" s="2"/>
      <c r="R8" s="2"/>
      <c r="S8" s="2"/>
      <c r="T8" s="2"/>
      <c r="U8" s="2"/>
      <c r="V8" s="2"/>
      <c r="W8" s="2"/>
      <c r="X8" s="2"/>
      <c r="Y8" s="2"/>
      <c r="Z8" s="2"/>
    </row>
    <row r="9" spans="1:26" x14ac:dyDescent="0.2">
      <c r="A9" s="3" t="s">
        <v>33</v>
      </c>
      <c r="B9" s="3" t="s">
        <v>28</v>
      </c>
      <c r="C9" s="3" t="s">
        <v>34</v>
      </c>
      <c r="D9" s="3" t="s">
        <v>30</v>
      </c>
      <c r="E9" s="3" t="s">
        <v>31</v>
      </c>
      <c r="F9" s="3" t="s">
        <v>32</v>
      </c>
      <c r="G9" s="3">
        <v>5</v>
      </c>
      <c r="H9" s="3">
        <v>3</v>
      </c>
      <c r="I9" s="3" t="s">
        <v>159</v>
      </c>
      <c r="J9" s="2"/>
      <c r="K9" s="2"/>
      <c r="L9" s="2"/>
      <c r="M9" s="2"/>
      <c r="N9" s="2"/>
      <c r="O9" s="2"/>
      <c r="P9" s="2"/>
      <c r="Q9" s="2"/>
      <c r="R9" s="2"/>
      <c r="S9" s="2"/>
      <c r="T9" s="2"/>
      <c r="U9" s="2"/>
      <c r="V9" s="2"/>
      <c r="W9" s="2"/>
      <c r="X9" s="2"/>
      <c r="Y9" s="2"/>
      <c r="Z9" s="2"/>
    </row>
    <row r="10" spans="1:26" x14ac:dyDescent="0.2">
      <c r="A10" s="1" t="s">
        <v>35</v>
      </c>
      <c r="B10" s="2"/>
      <c r="C10" s="2"/>
      <c r="D10" s="2"/>
      <c r="E10" s="2"/>
      <c r="F10" s="2"/>
      <c r="G10" s="3" t="s">
        <v>18</v>
      </c>
      <c r="H10" s="2"/>
      <c r="I10" s="3" t="s">
        <v>160</v>
      </c>
      <c r="J10" s="2"/>
      <c r="K10" s="2"/>
      <c r="L10" s="2"/>
      <c r="M10" s="2"/>
      <c r="N10" s="2"/>
      <c r="O10" s="2"/>
      <c r="P10" s="2"/>
      <c r="Q10" s="2"/>
      <c r="R10" s="2"/>
      <c r="S10" s="2"/>
      <c r="T10" s="2"/>
      <c r="U10" s="2"/>
      <c r="V10" s="2"/>
      <c r="W10" s="2"/>
      <c r="X10" s="2"/>
      <c r="Y10" s="2"/>
      <c r="Z10" s="2"/>
    </row>
    <row r="11" spans="1:26" x14ac:dyDescent="0.2">
      <c r="A11" s="3" t="s">
        <v>36</v>
      </c>
      <c r="B11" s="2"/>
      <c r="C11" s="3" t="s">
        <v>37</v>
      </c>
      <c r="D11" s="3" t="s">
        <v>9</v>
      </c>
      <c r="E11" s="3" t="s">
        <v>9</v>
      </c>
      <c r="F11" s="2"/>
      <c r="G11" s="3" t="s">
        <v>9</v>
      </c>
      <c r="H11" s="2"/>
      <c r="I11" s="2"/>
      <c r="J11" s="2"/>
      <c r="K11" s="2"/>
      <c r="L11" s="2"/>
      <c r="M11" s="2"/>
      <c r="N11" s="2"/>
      <c r="O11" s="2"/>
      <c r="P11" s="2"/>
      <c r="Q11" s="2"/>
      <c r="R11" s="2"/>
      <c r="S11" s="2"/>
      <c r="T11" s="2"/>
      <c r="U11" s="2"/>
      <c r="V11" s="2"/>
      <c r="W11" s="2"/>
      <c r="X11" s="2"/>
      <c r="Y11" s="2"/>
      <c r="Z11" s="2"/>
    </row>
    <row r="12" spans="1:26" x14ac:dyDescent="0.2">
      <c r="A12" s="3" t="s">
        <v>38</v>
      </c>
      <c r="B12" s="3" t="s">
        <v>39</v>
      </c>
      <c r="C12" s="3" t="s">
        <v>40</v>
      </c>
      <c r="D12" s="3" t="s">
        <v>41</v>
      </c>
      <c r="E12" s="3" t="s">
        <v>42</v>
      </c>
      <c r="F12" s="3" t="s">
        <v>43</v>
      </c>
      <c r="G12" s="3">
        <v>3</v>
      </c>
      <c r="H12" s="3">
        <v>3</v>
      </c>
      <c r="I12" s="3" t="s">
        <v>161</v>
      </c>
      <c r="J12" s="2"/>
      <c r="K12" s="2"/>
      <c r="L12" s="2"/>
      <c r="M12" s="2"/>
      <c r="N12" s="2"/>
      <c r="O12" s="2"/>
      <c r="P12" s="2"/>
      <c r="Q12" s="2"/>
      <c r="R12" s="2"/>
      <c r="S12" s="2"/>
      <c r="T12" s="2"/>
      <c r="U12" s="2"/>
      <c r="V12" s="2"/>
      <c r="W12" s="2"/>
      <c r="X12" s="2"/>
      <c r="Y12" s="2"/>
      <c r="Z12" s="2"/>
    </row>
    <row r="13" spans="1:26" x14ac:dyDescent="0.2">
      <c r="A13" s="3" t="s">
        <v>44</v>
      </c>
      <c r="B13" s="3" t="s">
        <v>45</v>
      </c>
      <c r="C13" s="3" t="s">
        <v>46</v>
      </c>
      <c r="D13" s="3" t="s">
        <v>47</v>
      </c>
      <c r="E13" s="3" t="s">
        <v>48</v>
      </c>
      <c r="F13" s="3" t="s">
        <v>49</v>
      </c>
      <c r="G13" s="3">
        <v>5</v>
      </c>
      <c r="H13" s="3">
        <v>3</v>
      </c>
      <c r="I13" s="3" t="s">
        <v>162</v>
      </c>
      <c r="J13" s="2"/>
      <c r="K13" s="2"/>
      <c r="L13" s="2"/>
      <c r="M13" s="2"/>
      <c r="N13" s="2"/>
      <c r="O13" s="2"/>
      <c r="P13" s="2"/>
      <c r="Q13" s="2"/>
      <c r="R13" s="2"/>
      <c r="S13" s="2"/>
      <c r="T13" s="2"/>
      <c r="U13" s="2"/>
      <c r="V13" s="2"/>
      <c r="W13" s="2"/>
      <c r="X13" s="2"/>
      <c r="Y13" s="2"/>
      <c r="Z13" s="2"/>
    </row>
    <row r="14" spans="1:26" x14ac:dyDescent="0.2">
      <c r="A14" s="3" t="s">
        <v>50</v>
      </c>
      <c r="B14" s="3" t="s">
        <v>51</v>
      </c>
      <c r="C14" s="3" t="s">
        <v>52</v>
      </c>
      <c r="D14" s="3" t="s">
        <v>53</v>
      </c>
      <c r="E14" s="3" t="s">
        <v>48</v>
      </c>
      <c r="F14" s="3" t="s">
        <v>54</v>
      </c>
      <c r="G14" s="3">
        <v>5</v>
      </c>
      <c r="H14" s="3">
        <v>3</v>
      </c>
      <c r="I14" s="2"/>
      <c r="J14" s="2"/>
      <c r="K14" s="2"/>
      <c r="L14" s="2"/>
      <c r="M14" s="2"/>
      <c r="N14" s="2"/>
      <c r="O14" s="2"/>
      <c r="P14" s="2"/>
      <c r="Q14" s="2"/>
      <c r="R14" s="2"/>
      <c r="S14" s="2"/>
      <c r="T14" s="2"/>
      <c r="U14" s="2"/>
      <c r="V14" s="2"/>
      <c r="W14" s="2"/>
      <c r="X14" s="2"/>
      <c r="Y14" s="2"/>
      <c r="Z14" s="2"/>
    </row>
    <row r="15" spans="1:26" x14ac:dyDescent="0.2">
      <c r="A15" s="3" t="s">
        <v>55</v>
      </c>
      <c r="B15" s="3" t="s">
        <v>56</v>
      </c>
      <c r="C15" s="3" t="s">
        <v>57</v>
      </c>
      <c r="D15" s="3" t="s">
        <v>58</v>
      </c>
      <c r="E15" s="3" t="s">
        <v>59</v>
      </c>
      <c r="F15" s="3" t="s">
        <v>60</v>
      </c>
      <c r="G15" s="3">
        <v>3</v>
      </c>
      <c r="H15" s="3">
        <v>3</v>
      </c>
      <c r="I15" s="3" t="s">
        <v>163</v>
      </c>
      <c r="J15" s="2"/>
      <c r="K15" s="2"/>
      <c r="L15" s="2"/>
      <c r="M15" s="2"/>
      <c r="N15" s="2"/>
      <c r="O15" s="2"/>
      <c r="P15" s="2"/>
      <c r="Q15" s="2"/>
      <c r="R15" s="2"/>
      <c r="S15" s="2"/>
      <c r="T15" s="2"/>
      <c r="U15" s="2"/>
      <c r="V15" s="2"/>
      <c r="W15" s="2"/>
      <c r="X15" s="2"/>
      <c r="Y15" s="2"/>
      <c r="Z15" s="2"/>
    </row>
    <row r="16" spans="1:26" x14ac:dyDescent="0.2">
      <c r="A16" s="3" t="s">
        <v>61</v>
      </c>
      <c r="B16" s="3" t="s">
        <v>51</v>
      </c>
      <c r="C16" s="3" t="s">
        <v>62</v>
      </c>
      <c r="D16" s="3" t="s">
        <v>53</v>
      </c>
      <c r="E16" s="3" t="s">
        <v>48</v>
      </c>
      <c r="F16" s="3" t="s">
        <v>54</v>
      </c>
      <c r="G16" s="3">
        <v>3</v>
      </c>
      <c r="H16" s="3">
        <v>3</v>
      </c>
      <c r="I16" s="3" t="s">
        <v>164</v>
      </c>
      <c r="J16" s="2"/>
      <c r="K16" s="2"/>
      <c r="L16" s="2"/>
      <c r="M16" s="2"/>
      <c r="N16" s="2"/>
      <c r="O16" s="2"/>
      <c r="P16" s="2"/>
      <c r="Q16" s="2"/>
      <c r="R16" s="2"/>
      <c r="S16" s="2"/>
      <c r="T16" s="2"/>
      <c r="U16" s="2"/>
      <c r="V16" s="2"/>
      <c r="W16" s="2"/>
      <c r="X16" s="2"/>
      <c r="Y16" s="2"/>
      <c r="Z16" s="2"/>
    </row>
    <row r="17" spans="1:26" x14ac:dyDescent="0.2">
      <c r="A17" s="1" t="s">
        <v>35</v>
      </c>
      <c r="B17" s="2"/>
      <c r="C17" s="2"/>
      <c r="D17" s="2"/>
      <c r="E17" s="2"/>
      <c r="F17" s="2"/>
      <c r="G17" s="3" t="s">
        <v>18</v>
      </c>
      <c r="H17" s="2"/>
      <c r="I17" s="2"/>
      <c r="J17" s="2"/>
      <c r="K17" s="2"/>
      <c r="L17" s="2"/>
      <c r="M17" s="2"/>
      <c r="N17" s="2"/>
      <c r="O17" s="2"/>
      <c r="P17" s="2"/>
      <c r="Q17" s="2"/>
      <c r="R17" s="2"/>
      <c r="S17" s="2"/>
      <c r="T17" s="2"/>
      <c r="U17" s="2"/>
      <c r="V17" s="2"/>
      <c r="W17" s="2"/>
      <c r="X17" s="2"/>
      <c r="Y17" s="2"/>
      <c r="Z17" s="2"/>
    </row>
    <row r="18" spans="1:26" x14ac:dyDescent="0.2">
      <c r="A18" s="3" t="s">
        <v>139</v>
      </c>
      <c r="B18" s="2"/>
      <c r="C18" s="3" t="s">
        <v>116</v>
      </c>
      <c r="D18" s="3" t="s">
        <v>9</v>
      </c>
      <c r="E18" s="3" t="s">
        <v>9</v>
      </c>
      <c r="F18" s="2"/>
      <c r="G18" s="3" t="s">
        <v>9</v>
      </c>
      <c r="H18" s="2"/>
      <c r="I18" s="2"/>
      <c r="J18" s="2"/>
      <c r="K18" s="2"/>
      <c r="L18" s="2"/>
      <c r="M18" s="2"/>
      <c r="N18" s="2"/>
      <c r="O18" s="2"/>
      <c r="P18" s="2"/>
      <c r="Q18" s="2"/>
      <c r="R18" s="2"/>
      <c r="S18" s="2"/>
      <c r="T18" s="2"/>
      <c r="U18" s="2"/>
      <c r="V18" s="2"/>
      <c r="W18" s="2"/>
      <c r="X18" s="2"/>
      <c r="Y18" s="2"/>
      <c r="Z18" s="2"/>
    </row>
    <row r="19" spans="1:26" x14ac:dyDescent="0.2">
      <c r="A19" s="3" t="s">
        <v>117</v>
      </c>
      <c r="B19" s="3" t="s">
        <v>118</v>
      </c>
      <c r="C19" s="3" t="s">
        <v>119</v>
      </c>
      <c r="D19" s="3" t="s">
        <v>120</v>
      </c>
      <c r="E19" s="3" t="s">
        <v>76</v>
      </c>
      <c r="F19" s="3" t="s">
        <v>121</v>
      </c>
      <c r="G19" s="3">
        <v>2</v>
      </c>
      <c r="H19" s="3">
        <v>5</v>
      </c>
      <c r="I19" s="3" t="s">
        <v>165</v>
      </c>
      <c r="J19" s="2"/>
      <c r="K19" s="2"/>
      <c r="L19" s="2"/>
      <c r="M19" s="2"/>
      <c r="N19" s="2"/>
      <c r="O19" s="2"/>
      <c r="P19" s="2"/>
      <c r="Q19" s="2"/>
      <c r="R19" s="2"/>
      <c r="S19" s="2"/>
      <c r="T19" s="2"/>
      <c r="U19" s="2"/>
      <c r="V19" s="2"/>
      <c r="W19" s="2"/>
      <c r="X19" s="2"/>
      <c r="Y19" s="2"/>
      <c r="Z19" s="2"/>
    </row>
    <row r="20" spans="1:26" x14ac:dyDescent="0.2">
      <c r="A20" s="3" t="s">
        <v>122</v>
      </c>
      <c r="B20" s="3" t="s">
        <v>99</v>
      </c>
      <c r="C20" s="3" t="s">
        <v>123</v>
      </c>
      <c r="D20" s="3" t="s">
        <v>101</v>
      </c>
      <c r="E20" s="3" t="s">
        <v>25</v>
      </c>
      <c r="F20" s="3" t="s">
        <v>121</v>
      </c>
      <c r="G20" s="3">
        <v>1</v>
      </c>
      <c r="H20" s="3">
        <v>4</v>
      </c>
      <c r="I20" s="2"/>
      <c r="J20" s="2"/>
      <c r="K20" s="2"/>
      <c r="L20" s="2"/>
      <c r="M20" s="2"/>
      <c r="N20" s="2"/>
      <c r="O20" s="2"/>
      <c r="P20" s="2"/>
      <c r="Q20" s="2"/>
      <c r="R20" s="2"/>
      <c r="S20" s="2"/>
      <c r="T20" s="2"/>
      <c r="U20" s="2"/>
      <c r="V20" s="2"/>
      <c r="W20" s="2"/>
      <c r="X20" s="2"/>
      <c r="Y20" s="2"/>
      <c r="Z20" s="2"/>
    </row>
    <row r="21" spans="1:26" x14ac:dyDescent="0.2">
      <c r="A21" s="3" t="s">
        <v>124</v>
      </c>
      <c r="B21" s="3" t="s">
        <v>125</v>
      </c>
      <c r="C21" s="3" t="s">
        <v>126</v>
      </c>
      <c r="D21" s="3" t="s">
        <v>127</v>
      </c>
      <c r="E21" s="3" t="s">
        <v>76</v>
      </c>
      <c r="F21" s="3" t="s">
        <v>121</v>
      </c>
      <c r="G21" s="3">
        <v>1</v>
      </c>
      <c r="H21" s="3">
        <v>4</v>
      </c>
      <c r="I21" s="3" t="s">
        <v>166</v>
      </c>
      <c r="J21" s="2"/>
      <c r="K21" s="2"/>
      <c r="L21" s="2"/>
      <c r="M21" s="2"/>
      <c r="N21" s="2"/>
      <c r="O21" s="2"/>
      <c r="P21" s="2"/>
      <c r="Q21" s="2"/>
      <c r="R21" s="2"/>
      <c r="S21" s="2"/>
      <c r="T21" s="2"/>
      <c r="U21" s="2"/>
      <c r="V21" s="2"/>
      <c r="W21" s="2"/>
      <c r="X21" s="2"/>
      <c r="Y21" s="2"/>
      <c r="Z21" s="2"/>
    </row>
    <row r="22" spans="1:26" x14ac:dyDescent="0.2">
      <c r="A22" s="3" t="s">
        <v>128</v>
      </c>
      <c r="B22" s="3" t="s">
        <v>99</v>
      </c>
      <c r="C22" s="3" t="s">
        <v>129</v>
      </c>
      <c r="D22" s="3" t="s">
        <v>101</v>
      </c>
      <c r="E22" s="3" t="s">
        <v>25</v>
      </c>
      <c r="F22" s="3" t="s">
        <v>102</v>
      </c>
      <c r="G22" s="3">
        <v>1</v>
      </c>
      <c r="H22" s="3">
        <v>4</v>
      </c>
      <c r="I22" s="2"/>
      <c r="J22" s="2"/>
      <c r="K22" s="2"/>
      <c r="L22" s="2"/>
      <c r="M22" s="2"/>
      <c r="N22" s="2"/>
      <c r="O22" s="2"/>
      <c r="P22" s="2"/>
      <c r="Q22" s="2"/>
      <c r="R22" s="2"/>
      <c r="S22" s="2"/>
      <c r="T22" s="2"/>
      <c r="U22" s="2"/>
      <c r="V22" s="2"/>
      <c r="W22" s="2"/>
      <c r="X22" s="2"/>
      <c r="Y22" s="2"/>
      <c r="Z22" s="2"/>
    </row>
    <row r="23" spans="1:26" x14ac:dyDescent="0.2">
      <c r="A23" s="3" t="s">
        <v>130</v>
      </c>
      <c r="B23" s="3" t="s">
        <v>99</v>
      </c>
      <c r="C23" s="3" t="s">
        <v>131</v>
      </c>
      <c r="D23" s="3" t="s">
        <v>101</v>
      </c>
      <c r="E23" s="3" t="s">
        <v>25</v>
      </c>
      <c r="F23" s="3" t="s">
        <v>102</v>
      </c>
      <c r="G23" s="3">
        <v>1</v>
      </c>
      <c r="H23" s="3">
        <v>4</v>
      </c>
      <c r="I23" s="2"/>
      <c r="J23" s="2"/>
      <c r="K23" s="2"/>
      <c r="L23" s="2"/>
      <c r="M23" s="2"/>
      <c r="N23" s="2"/>
      <c r="O23" s="2"/>
      <c r="P23" s="2"/>
      <c r="Q23" s="2"/>
      <c r="R23" s="2"/>
      <c r="S23" s="2"/>
      <c r="T23" s="2"/>
      <c r="U23" s="2"/>
      <c r="V23" s="2"/>
      <c r="W23" s="2"/>
      <c r="X23" s="2"/>
      <c r="Y23" s="2"/>
      <c r="Z23" s="2"/>
    </row>
    <row r="24" spans="1:26" x14ac:dyDescent="0.2">
      <c r="A24" s="3" t="s">
        <v>132</v>
      </c>
      <c r="B24" s="3" t="s">
        <v>133</v>
      </c>
      <c r="C24" s="3" t="s">
        <v>134</v>
      </c>
      <c r="D24" s="3">
        <v>2020</v>
      </c>
      <c r="E24" s="3" t="s">
        <v>76</v>
      </c>
      <c r="F24" s="4" t="s">
        <v>135</v>
      </c>
      <c r="G24" s="3">
        <v>1</v>
      </c>
      <c r="H24" s="3">
        <v>5</v>
      </c>
      <c r="I24" s="2"/>
      <c r="J24" s="2"/>
      <c r="K24" s="2"/>
      <c r="L24" s="2"/>
      <c r="M24" s="2"/>
      <c r="N24" s="2"/>
      <c r="O24" s="2"/>
      <c r="P24" s="2"/>
      <c r="Q24" s="2"/>
      <c r="R24" s="2"/>
      <c r="S24" s="2"/>
      <c r="T24" s="2"/>
      <c r="U24" s="2"/>
      <c r="V24" s="2"/>
      <c r="W24" s="2"/>
      <c r="X24" s="2"/>
      <c r="Y24" s="2"/>
      <c r="Z24" s="2"/>
    </row>
    <row r="25" spans="1:26" x14ac:dyDescent="0.2">
      <c r="A25" s="1" t="s">
        <v>35</v>
      </c>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3" t="s">
        <v>9</v>
      </c>
      <c r="H26" s="2"/>
      <c r="I26" s="2"/>
      <c r="J26" s="2"/>
      <c r="K26" s="2"/>
      <c r="L26" s="2"/>
      <c r="M26" s="2"/>
      <c r="N26" s="2"/>
      <c r="O26" s="2"/>
      <c r="P26" s="2"/>
      <c r="Q26" s="2"/>
      <c r="R26" s="2"/>
      <c r="S26" s="2"/>
      <c r="T26" s="2"/>
      <c r="U26" s="2"/>
      <c r="V26" s="2"/>
      <c r="W26" s="2"/>
      <c r="X26" s="2"/>
      <c r="Y26" s="2"/>
      <c r="Z26" s="2"/>
    </row>
    <row r="27" spans="1:26" x14ac:dyDescent="0.2">
      <c r="A27" s="3" t="s">
        <v>63</v>
      </c>
      <c r="B27" s="2"/>
      <c r="C27" s="3" t="s">
        <v>64</v>
      </c>
      <c r="D27" s="3" t="s">
        <v>9</v>
      </c>
      <c r="E27" s="3" t="s">
        <v>9</v>
      </c>
      <c r="F27" s="2"/>
      <c r="G27" s="3" t="s">
        <v>9</v>
      </c>
      <c r="H27" s="2"/>
      <c r="I27" s="2"/>
      <c r="J27" s="2"/>
      <c r="K27" s="2"/>
      <c r="L27" s="2"/>
      <c r="M27" s="2"/>
      <c r="N27" s="2"/>
      <c r="O27" s="2"/>
      <c r="P27" s="2"/>
      <c r="Q27" s="2"/>
      <c r="R27" s="2"/>
      <c r="S27" s="2"/>
      <c r="T27" s="2"/>
      <c r="U27" s="2"/>
      <c r="V27" s="2"/>
      <c r="W27" s="2"/>
      <c r="X27" s="2"/>
      <c r="Y27" s="2"/>
      <c r="Z27" s="2"/>
    </row>
    <row r="28" spans="1:26" x14ac:dyDescent="0.2">
      <c r="A28" s="3" t="s">
        <v>65</v>
      </c>
      <c r="B28" s="2"/>
      <c r="C28" s="3" t="s">
        <v>66</v>
      </c>
      <c r="D28" s="3" t="s">
        <v>9</v>
      </c>
      <c r="E28" s="3" t="s">
        <v>9</v>
      </c>
      <c r="F28" s="2"/>
      <c r="G28" s="3" t="s">
        <v>9</v>
      </c>
      <c r="H28" s="2"/>
      <c r="I28" s="2"/>
      <c r="J28" s="2"/>
      <c r="K28" s="2"/>
      <c r="L28" s="2"/>
      <c r="M28" s="2"/>
      <c r="N28" s="2"/>
      <c r="O28" s="2"/>
      <c r="P28" s="2"/>
      <c r="Q28" s="2"/>
      <c r="R28" s="2"/>
      <c r="S28" s="2"/>
      <c r="T28" s="2"/>
      <c r="U28" s="2"/>
      <c r="V28" s="2"/>
      <c r="W28" s="2"/>
      <c r="X28" s="2"/>
      <c r="Y28" s="2"/>
      <c r="Z28" s="2"/>
    </row>
    <row r="29" spans="1:26" x14ac:dyDescent="0.2">
      <c r="A29" s="3" t="s">
        <v>67</v>
      </c>
      <c r="B29" s="3" t="s">
        <v>68</v>
      </c>
      <c r="C29" s="3" t="s">
        <v>69</v>
      </c>
      <c r="D29" s="3">
        <v>2017</v>
      </c>
      <c r="E29" s="3" t="s">
        <v>70</v>
      </c>
      <c r="F29" s="3" t="s">
        <v>71</v>
      </c>
      <c r="G29" s="3">
        <v>1</v>
      </c>
      <c r="H29" s="3">
        <v>3</v>
      </c>
      <c r="I29" s="2"/>
      <c r="J29" s="2"/>
      <c r="K29" s="2"/>
      <c r="L29" s="2"/>
      <c r="M29" s="2"/>
      <c r="N29" s="2"/>
      <c r="O29" s="2"/>
      <c r="P29" s="2"/>
      <c r="Q29" s="2"/>
      <c r="R29" s="2"/>
      <c r="S29" s="2"/>
      <c r="T29" s="2"/>
      <c r="U29" s="2"/>
      <c r="V29" s="2"/>
      <c r="W29" s="2"/>
      <c r="X29" s="2"/>
      <c r="Y29" s="2"/>
      <c r="Z29" s="2"/>
    </row>
    <row r="30" spans="1:26" x14ac:dyDescent="0.2">
      <c r="A30" s="3" t="s">
        <v>72</v>
      </c>
      <c r="B30" s="3" t="s">
        <v>73</v>
      </c>
      <c r="C30" s="3" t="s">
        <v>74</v>
      </c>
      <c r="D30" s="3" t="s">
        <v>75</v>
      </c>
      <c r="E30" s="3" t="s">
        <v>76</v>
      </c>
      <c r="F30" s="3" t="s">
        <v>77</v>
      </c>
      <c r="G30" s="3">
        <v>4</v>
      </c>
      <c r="H30" s="3">
        <v>5</v>
      </c>
      <c r="I30" s="2"/>
      <c r="J30" s="2"/>
      <c r="K30" s="2"/>
      <c r="L30" s="2"/>
      <c r="M30" s="2"/>
      <c r="N30" s="2"/>
      <c r="O30" s="2"/>
      <c r="P30" s="2"/>
      <c r="Q30" s="2"/>
      <c r="R30" s="2"/>
      <c r="S30" s="2"/>
      <c r="T30" s="2"/>
      <c r="U30" s="2"/>
      <c r="V30" s="2"/>
      <c r="W30" s="2"/>
      <c r="X30" s="2"/>
      <c r="Y30" s="2"/>
      <c r="Z30" s="2"/>
    </row>
    <row r="31" spans="1:26" x14ac:dyDescent="0.2">
      <c r="A31" s="3" t="s">
        <v>78</v>
      </c>
      <c r="B31" s="3" t="s">
        <v>79</v>
      </c>
      <c r="C31" s="3" t="s">
        <v>80</v>
      </c>
      <c r="D31" s="3" t="s">
        <v>81</v>
      </c>
      <c r="E31" s="3" t="s">
        <v>76</v>
      </c>
      <c r="F31" s="3" t="s">
        <v>82</v>
      </c>
      <c r="G31" s="3">
        <v>5</v>
      </c>
      <c r="H31" s="3">
        <v>5</v>
      </c>
      <c r="I31" s="3" t="s">
        <v>167</v>
      </c>
      <c r="J31" s="2"/>
      <c r="K31" s="2"/>
      <c r="L31" s="2"/>
      <c r="M31" s="2"/>
      <c r="N31" s="2"/>
      <c r="O31" s="2"/>
      <c r="P31" s="2"/>
      <c r="Q31" s="2"/>
      <c r="R31" s="2"/>
      <c r="S31" s="2"/>
      <c r="T31" s="2"/>
      <c r="U31" s="2"/>
      <c r="V31" s="2"/>
      <c r="W31" s="2"/>
      <c r="X31" s="2"/>
      <c r="Y31" s="2"/>
      <c r="Z31" s="2"/>
    </row>
    <row r="32" spans="1:26" x14ac:dyDescent="0.2">
      <c r="A32" s="3" t="s">
        <v>83</v>
      </c>
      <c r="B32" s="3" t="s">
        <v>84</v>
      </c>
      <c r="C32" s="3" t="s">
        <v>85</v>
      </c>
      <c r="D32" s="3" t="s">
        <v>86</v>
      </c>
      <c r="E32" s="3" t="s">
        <v>76</v>
      </c>
      <c r="F32" s="3" t="s">
        <v>87</v>
      </c>
      <c r="G32" s="3">
        <v>3</v>
      </c>
      <c r="H32" s="3">
        <v>3</v>
      </c>
      <c r="I32" s="3" t="s">
        <v>168</v>
      </c>
      <c r="J32" s="2"/>
      <c r="K32" s="2"/>
      <c r="L32" s="2"/>
      <c r="M32" s="2"/>
      <c r="N32" s="2"/>
      <c r="O32" s="2"/>
      <c r="P32" s="2"/>
      <c r="Q32" s="2"/>
      <c r="R32" s="2"/>
      <c r="S32" s="2"/>
      <c r="T32" s="2"/>
      <c r="U32" s="2"/>
      <c r="V32" s="2"/>
      <c r="W32" s="2"/>
      <c r="X32" s="2"/>
      <c r="Y32" s="2"/>
      <c r="Z32" s="2"/>
    </row>
    <row r="33" spans="1:26" x14ac:dyDescent="0.2">
      <c r="A33" s="3" t="s">
        <v>88</v>
      </c>
      <c r="B33" s="3" t="s">
        <v>89</v>
      </c>
      <c r="C33" s="3" t="s">
        <v>90</v>
      </c>
      <c r="D33" s="3" t="s">
        <v>81</v>
      </c>
      <c r="E33" s="3" t="s">
        <v>91</v>
      </c>
      <c r="F33" s="3" t="s">
        <v>92</v>
      </c>
      <c r="G33" s="3">
        <v>4</v>
      </c>
      <c r="H33" s="3">
        <v>4</v>
      </c>
      <c r="I33" s="2"/>
      <c r="J33" s="2"/>
      <c r="K33" s="2"/>
      <c r="L33" s="2"/>
      <c r="M33" s="2"/>
      <c r="N33" s="2"/>
      <c r="O33" s="2"/>
      <c r="P33" s="2"/>
      <c r="Q33" s="2"/>
      <c r="R33" s="2"/>
      <c r="S33" s="2"/>
      <c r="T33" s="2"/>
      <c r="U33" s="2"/>
      <c r="V33" s="2"/>
      <c r="W33" s="2"/>
      <c r="X33" s="2"/>
      <c r="Y33" s="2"/>
      <c r="Z33" s="2"/>
    </row>
    <row r="34" spans="1:26" x14ac:dyDescent="0.2">
      <c r="A34" s="3" t="s">
        <v>93</v>
      </c>
      <c r="B34" s="3" t="s">
        <v>94</v>
      </c>
      <c r="C34" s="3" t="s">
        <v>95</v>
      </c>
      <c r="D34" s="3" t="s">
        <v>96</v>
      </c>
      <c r="E34" s="3" t="s">
        <v>91</v>
      </c>
      <c r="F34" s="3" t="s">
        <v>97</v>
      </c>
      <c r="G34" s="3">
        <v>2</v>
      </c>
      <c r="H34" s="3">
        <v>5</v>
      </c>
      <c r="I34" s="2"/>
      <c r="J34" s="2"/>
      <c r="K34" s="2"/>
      <c r="L34" s="2"/>
      <c r="M34" s="2"/>
      <c r="N34" s="2"/>
      <c r="O34" s="2"/>
      <c r="P34" s="2"/>
      <c r="Q34" s="2"/>
      <c r="R34" s="2"/>
      <c r="S34" s="2"/>
      <c r="T34" s="2"/>
      <c r="U34" s="2"/>
      <c r="V34" s="2"/>
      <c r="W34" s="2"/>
      <c r="X34" s="2"/>
      <c r="Y34" s="2"/>
      <c r="Z34" s="2"/>
    </row>
    <row r="35" spans="1:26" x14ac:dyDescent="0.2">
      <c r="A35" s="3" t="s">
        <v>98</v>
      </c>
      <c r="B35" s="3" t="s">
        <v>99</v>
      </c>
      <c r="C35" s="3" t="s">
        <v>100</v>
      </c>
      <c r="D35" s="3" t="s">
        <v>101</v>
      </c>
      <c r="E35" s="3" t="s">
        <v>25</v>
      </c>
      <c r="F35" s="3" t="s">
        <v>102</v>
      </c>
      <c r="G35" s="3">
        <v>1</v>
      </c>
      <c r="H35" s="3">
        <v>4</v>
      </c>
      <c r="I35" s="2"/>
      <c r="J35" s="2"/>
      <c r="K35" s="2"/>
      <c r="L35" s="2"/>
      <c r="M35" s="2"/>
      <c r="N35" s="2"/>
      <c r="O35" s="2"/>
      <c r="P35" s="2"/>
      <c r="Q35" s="2"/>
      <c r="R35" s="2"/>
      <c r="S35" s="2"/>
      <c r="T35" s="2"/>
      <c r="U35" s="2"/>
      <c r="V35" s="2"/>
      <c r="W35" s="2"/>
      <c r="X35" s="2"/>
      <c r="Y35" s="2"/>
      <c r="Z35" s="2"/>
    </row>
    <row r="36" spans="1:26" x14ac:dyDescent="0.2">
      <c r="A36" s="1" t="s">
        <v>35</v>
      </c>
      <c r="B36" s="2"/>
      <c r="C36" s="2"/>
      <c r="D36" s="2"/>
      <c r="E36" s="2"/>
      <c r="F36" s="2"/>
      <c r="G36" s="3" t="s">
        <v>18</v>
      </c>
      <c r="H36" s="2"/>
      <c r="I36" s="2"/>
      <c r="J36" s="2"/>
      <c r="K36" s="2"/>
      <c r="L36" s="2"/>
      <c r="M36" s="2"/>
      <c r="N36" s="2"/>
      <c r="O36" s="2"/>
      <c r="P36" s="2"/>
      <c r="Q36" s="2"/>
      <c r="R36" s="2"/>
      <c r="S36" s="2"/>
      <c r="T36" s="2"/>
      <c r="U36" s="2"/>
      <c r="V36" s="2"/>
      <c r="W36" s="2"/>
      <c r="X36" s="2"/>
      <c r="Y36" s="2"/>
      <c r="Z36" s="2"/>
    </row>
    <row r="37" spans="1:26" x14ac:dyDescent="0.2">
      <c r="A37" s="3" t="s">
        <v>103</v>
      </c>
      <c r="B37" s="2"/>
      <c r="C37" s="3" t="s">
        <v>104</v>
      </c>
      <c r="D37" s="3" t="s">
        <v>9</v>
      </c>
      <c r="E37" s="3" t="s">
        <v>9</v>
      </c>
      <c r="F37" s="2"/>
      <c r="G37" s="3" t="s">
        <v>9</v>
      </c>
      <c r="H37" s="2"/>
      <c r="I37" s="2"/>
      <c r="J37" s="2"/>
      <c r="K37" s="2"/>
      <c r="L37" s="2"/>
      <c r="M37" s="2"/>
      <c r="N37" s="2"/>
      <c r="O37" s="2"/>
      <c r="P37" s="2"/>
      <c r="Q37" s="2"/>
      <c r="R37" s="2"/>
      <c r="S37" s="2"/>
      <c r="T37" s="2"/>
      <c r="U37" s="2"/>
      <c r="V37" s="2"/>
      <c r="W37" s="2"/>
      <c r="X37" s="2"/>
      <c r="Y37" s="2"/>
      <c r="Z37" s="2"/>
    </row>
    <row r="38" spans="1:26" x14ac:dyDescent="0.2">
      <c r="A38" s="3" t="s">
        <v>105</v>
      </c>
      <c r="B38" s="3" t="s">
        <v>106</v>
      </c>
      <c r="C38" s="3" t="s">
        <v>107</v>
      </c>
      <c r="D38" s="3" t="s">
        <v>108</v>
      </c>
      <c r="E38" s="3" t="s">
        <v>109</v>
      </c>
      <c r="F38" s="2"/>
      <c r="G38" s="3">
        <v>1</v>
      </c>
      <c r="H38" s="3">
        <v>5</v>
      </c>
      <c r="I38" s="2"/>
      <c r="J38" s="2"/>
      <c r="K38" s="2"/>
      <c r="L38" s="2"/>
      <c r="M38" s="2"/>
      <c r="N38" s="2"/>
      <c r="O38" s="2"/>
      <c r="P38" s="2"/>
      <c r="Q38" s="2"/>
      <c r="R38" s="2"/>
      <c r="S38" s="2"/>
      <c r="T38" s="2"/>
      <c r="U38" s="2"/>
      <c r="V38" s="2"/>
      <c r="W38" s="2"/>
      <c r="X38" s="2"/>
      <c r="Y38" s="2"/>
      <c r="Z38" s="2"/>
    </row>
    <row r="39" spans="1:26" x14ac:dyDescent="0.2">
      <c r="A39" s="3" t="s">
        <v>110</v>
      </c>
      <c r="B39" s="3" t="s">
        <v>106</v>
      </c>
      <c r="C39" s="3" t="s">
        <v>111</v>
      </c>
      <c r="D39" s="3" t="s">
        <v>108</v>
      </c>
      <c r="E39" s="3" t="s">
        <v>112</v>
      </c>
      <c r="F39" s="2"/>
      <c r="G39" s="3">
        <v>1</v>
      </c>
      <c r="H39" s="3">
        <v>5</v>
      </c>
      <c r="I39" s="2"/>
      <c r="J39" s="2"/>
      <c r="K39" s="2"/>
      <c r="L39" s="2"/>
      <c r="M39" s="2"/>
      <c r="N39" s="2"/>
      <c r="O39" s="2"/>
      <c r="P39" s="2"/>
      <c r="Q39" s="2"/>
      <c r="R39" s="2"/>
      <c r="S39" s="2"/>
      <c r="T39" s="2"/>
      <c r="U39" s="2"/>
      <c r="V39" s="2"/>
      <c r="W39" s="2"/>
      <c r="X39" s="2"/>
      <c r="Y39" s="2"/>
      <c r="Z39" s="2"/>
    </row>
    <row r="40" spans="1:26" x14ac:dyDescent="0.2">
      <c r="A40" s="3" t="s">
        <v>113</v>
      </c>
      <c r="B40" s="3" t="s">
        <v>106</v>
      </c>
      <c r="C40" s="3" t="s">
        <v>114</v>
      </c>
      <c r="D40" s="3" t="s">
        <v>108</v>
      </c>
      <c r="E40" s="3" t="s">
        <v>115</v>
      </c>
      <c r="F40" s="2"/>
      <c r="G40" s="3">
        <v>1</v>
      </c>
      <c r="H40" s="3">
        <v>5</v>
      </c>
      <c r="I40" s="2"/>
      <c r="J40" s="2"/>
      <c r="K40" s="2"/>
      <c r="L40" s="2"/>
      <c r="M40" s="2"/>
      <c r="N40" s="2"/>
      <c r="O40" s="2"/>
      <c r="P40" s="2"/>
      <c r="Q40" s="2"/>
      <c r="R40" s="2"/>
      <c r="S40" s="2"/>
      <c r="T40" s="2"/>
      <c r="U40" s="2"/>
      <c r="V40" s="2"/>
      <c r="W40" s="2"/>
      <c r="X40" s="2"/>
      <c r="Y40" s="2"/>
      <c r="Z40" s="2"/>
    </row>
    <row r="41" spans="1:26" x14ac:dyDescent="0.2">
      <c r="A41" s="1" t="s">
        <v>35</v>
      </c>
      <c r="B41" s="2"/>
      <c r="C41" s="2"/>
      <c r="D41" s="2"/>
      <c r="E41" s="2"/>
      <c r="F41" s="2"/>
      <c r="G41" s="3" t="s">
        <v>18</v>
      </c>
      <c r="H41" s="2"/>
      <c r="I41" s="3" t="s">
        <v>169</v>
      </c>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ef="F24" r:id="rId1" xr:uid="{12EE0B53-E292-A049-8424-049128C2732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E5370-EB7E-B34D-97BD-414048D1DD0D}">
  <dimension ref="A1:AB1000"/>
  <sheetViews>
    <sheetView topLeftCell="N8" workbookViewId="0">
      <selection activeCell="P62" sqref="P62"/>
    </sheetView>
  </sheetViews>
  <sheetFormatPr baseColWidth="10" defaultRowHeight="16" x14ac:dyDescent="0.2"/>
  <sheetData>
    <row r="1" spans="1:26" x14ac:dyDescent="0.2">
      <c r="A1" s="1" t="s">
        <v>0</v>
      </c>
      <c r="B1" s="1" t="s">
        <v>1</v>
      </c>
      <c r="C1" s="1" t="s">
        <v>2</v>
      </c>
      <c r="D1" s="1" t="s">
        <v>3</v>
      </c>
      <c r="E1" s="1" t="s">
        <v>4</v>
      </c>
      <c r="F1" s="1" t="s">
        <v>5</v>
      </c>
      <c r="G1" s="1" t="s">
        <v>6</v>
      </c>
      <c r="H1" s="2"/>
      <c r="I1" s="1" t="s">
        <v>136</v>
      </c>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3" t="s">
        <v>7</v>
      </c>
      <c r="B3" s="2"/>
      <c r="C3" s="3" t="s">
        <v>8</v>
      </c>
      <c r="D3" s="3" t="s">
        <v>9</v>
      </c>
      <c r="E3" s="3" t="s">
        <v>9</v>
      </c>
      <c r="F3" s="2"/>
      <c r="G3" s="3" t="s">
        <v>9</v>
      </c>
      <c r="H3" s="2"/>
      <c r="I3" s="2"/>
      <c r="J3" s="2"/>
      <c r="K3" s="2"/>
      <c r="L3" s="2"/>
      <c r="M3" s="2"/>
      <c r="N3" s="2"/>
      <c r="O3" s="2"/>
      <c r="P3" s="2"/>
      <c r="Q3" s="2"/>
      <c r="R3" s="2"/>
      <c r="S3" s="2"/>
      <c r="T3" s="2"/>
      <c r="U3" s="2"/>
      <c r="V3" s="2"/>
      <c r="W3" s="2"/>
      <c r="X3" s="2"/>
      <c r="Y3" s="2"/>
      <c r="Z3" s="2"/>
    </row>
    <row r="4" spans="1:26" x14ac:dyDescent="0.2">
      <c r="A4" s="3" t="s">
        <v>10</v>
      </c>
      <c r="B4" s="2"/>
      <c r="C4" s="3" t="s">
        <v>11</v>
      </c>
      <c r="D4" s="3" t="s">
        <v>9</v>
      </c>
      <c r="E4" s="3" t="s">
        <v>9</v>
      </c>
      <c r="F4" s="2"/>
      <c r="G4" s="3" t="s">
        <v>9</v>
      </c>
      <c r="H4" s="2"/>
      <c r="I4" s="2"/>
      <c r="J4" s="2"/>
      <c r="K4" s="2"/>
      <c r="L4" s="2"/>
      <c r="M4" s="2"/>
      <c r="N4" s="2"/>
      <c r="O4" s="2"/>
      <c r="P4" s="2"/>
      <c r="Q4" s="2"/>
      <c r="R4" s="2"/>
      <c r="S4" s="2"/>
      <c r="T4" s="2"/>
      <c r="U4" s="2"/>
      <c r="V4" s="2"/>
      <c r="W4" s="2"/>
      <c r="X4" s="2"/>
      <c r="Y4" s="2"/>
      <c r="Z4" s="2"/>
    </row>
    <row r="5" spans="1:26" x14ac:dyDescent="0.2">
      <c r="A5" s="3" t="s">
        <v>12</v>
      </c>
      <c r="B5" s="3" t="s">
        <v>13</v>
      </c>
      <c r="C5" s="3" t="s">
        <v>14</v>
      </c>
      <c r="D5" s="3" t="s">
        <v>15</v>
      </c>
      <c r="E5" s="3" t="s">
        <v>16</v>
      </c>
      <c r="F5" s="3" t="s">
        <v>17</v>
      </c>
      <c r="G5" s="3">
        <v>5</v>
      </c>
      <c r="H5" s="3" t="s">
        <v>170</v>
      </c>
      <c r="I5" s="2"/>
      <c r="J5" s="2"/>
      <c r="K5" s="2"/>
      <c r="L5" s="2"/>
      <c r="M5" s="2"/>
      <c r="N5" s="2"/>
      <c r="O5" s="2"/>
      <c r="P5" s="2"/>
      <c r="Q5" s="2"/>
      <c r="R5" s="2"/>
      <c r="S5" s="2"/>
      <c r="T5" s="2"/>
      <c r="U5" s="2"/>
      <c r="V5" s="2"/>
      <c r="W5" s="2"/>
      <c r="X5" s="2"/>
      <c r="Y5" s="2"/>
      <c r="Z5" s="2"/>
    </row>
    <row r="6" spans="1:26" x14ac:dyDescent="0.2">
      <c r="A6" s="3" t="s">
        <v>19</v>
      </c>
      <c r="B6" s="3" t="s">
        <v>13</v>
      </c>
      <c r="C6" s="3" t="s">
        <v>20</v>
      </c>
      <c r="D6" s="3" t="s">
        <v>15</v>
      </c>
      <c r="E6" s="3" t="s">
        <v>16</v>
      </c>
      <c r="F6" s="3" t="s">
        <v>17</v>
      </c>
      <c r="G6" s="3">
        <v>3</v>
      </c>
      <c r="H6" s="2"/>
      <c r="I6" s="2"/>
      <c r="J6" s="2"/>
      <c r="K6" s="2"/>
      <c r="L6" s="2"/>
      <c r="M6" s="2"/>
      <c r="N6" s="2"/>
      <c r="O6" s="2"/>
      <c r="P6" s="2"/>
      <c r="Q6" s="2"/>
      <c r="R6" s="2"/>
      <c r="S6" s="2"/>
      <c r="T6" s="2"/>
      <c r="U6" s="2"/>
      <c r="V6" s="2"/>
      <c r="W6" s="2"/>
      <c r="X6" s="2"/>
      <c r="Y6" s="2"/>
      <c r="Z6" s="2"/>
    </row>
    <row r="7" spans="1:26" x14ac:dyDescent="0.2">
      <c r="A7" s="3" t="s">
        <v>21</v>
      </c>
      <c r="B7" s="3" t="s">
        <v>22</v>
      </c>
      <c r="C7" s="3" t="s">
        <v>23</v>
      </c>
      <c r="D7" s="3" t="s">
        <v>24</v>
      </c>
      <c r="E7" s="3" t="s">
        <v>25</v>
      </c>
      <c r="F7" s="3" t="s">
        <v>26</v>
      </c>
      <c r="G7" s="3">
        <v>3</v>
      </c>
      <c r="H7" s="2"/>
      <c r="I7" s="2"/>
      <c r="J7" s="2"/>
      <c r="K7" s="2"/>
      <c r="L7" s="2"/>
      <c r="M7" s="2"/>
      <c r="N7" s="2"/>
      <c r="O7" s="2"/>
      <c r="P7" s="2"/>
      <c r="Q7" s="2"/>
      <c r="R7" s="2"/>
      <c r="S7" s="2"/>
      <c r="T7" s="2"/>
      <c r="U7" s="2"/>
      <c r="V7" s="2"/>
      <c r="W7" s="2"/>
      <c r="X7" s="2"/>
      <c r="Y7" s="2"/>
      <c r="Z7" s="2"/>
    </row>
    <row r="8" spans="1:26" x14ac:dyDescent="0.2">
      <c r="A8" s="3" t="s">
        <v>27</v>
      </c>
      <c r="B8" s="3" t="s">
        <v>28</v>
      </c>
      <c r="C8" s="3" t="s">
        <v>29</v>
      </c>
      <c r="D8" s="3" t="s">
        <v>30</v>
      </c>
      <c r="E8" s="3" t="s">
        <v>31</v>
      </c>
      <c r="F8" s="3" t="s">
        <v>32</v>
      </c>
      <c r="G8" s="3">
        <v>4</v>
      </c>
      <c r="H8" s="2"/>
      <c r="I8" s="2"/>
      <c r="J8" s="2"/>
      <c r="K8" s="2"/>
      <c r="L8" s="2"/>
      <c r="M8" s="2"/>
      <c r="N8" s="2"/>
      <c r="O8" s="2"/>
      <c r="P8" s="2"/>
      <c r="Q8" s="2"/>
      <c r="R8" s="2"/>
      <c r="S8" s="2"/>
      <c r="T8" s="2"/>
      <c r="U8" s="2"/>
      <c r="V8" s="2"/>
      <c r="W8" s="2"/>
      <c r="X8" s="2"/>
      <c r="Y8" s="2"/>
      <c r="Z8" s="2"/>
    </row>
    <row r="9" spans="1:26" x14ac:dyDescent="0.2">
      <c r="A9" s="3" t="s">
        <v>33</v>
      </c>
      <c r="B9" s="3" t="s">
        <v>28</v>
      </c>
      <c r="C9" s="3" t="s">
        <v>34</v>
      </c>
      <c r="D9" s="3" t="s">
        <v>30</v>
      </c>
      <c r="E9" s="3" t="s">
        <v>31</v>
      </c>
      <c r="F9" s="3" t="s">
        <v>32</v>
      </c>
      <c r="G9" s="3">
        <v>4</v>
      </c>
      <c r="H9" s="2"/>
      <c r="I9" s="2"/>
      <c r="J9" s="2"/>
      <c r="K9" s="2"/>
      <c r="L9" s="2"/>
      <c r="M9" s="2"/>
      <c r="N9" s="2"/>
      <c r="O9" s="2"/>
      <c r="P9" s="2"/>
      <c r="Q9" s="2"/>
      <c r="R9" s="2"/>
      <c r="S9" s="2"/>
      <c r="T9" s="2"/>
      <c r="U9" s="2"/>
      <c r="V9" s="2"/>
      <c r="W9" s="2"/>
      <c r="X9" s="2"/>
      <c r="Y9" s="2"/>
      <c r="Z9" s="2"/>
    </row>
    <row r="10" spans="1:26" x14ac:dyDescent="0.2">
      <c r="A10" s="1" t="s">
        <v>35</v>
      </c>
      <c r="B10" s="2"/>
      <c r="C10" s="2"/>
      <c r="D10" s="2"/>
      <c r="E10" s="2"/>
      <c r="F10" s="2"/>
      <c r="G10" s="3" t="s">
        <v>18</v>
      </c>
      <c r="H10" s="2"/>
      <c r="I10" s="2"/>
      <c r="J10" s="2"/>
      <c r="K10" s="2"/>
      <c r="L10" s="2"/>
      <c r="M10" s="2"/>
      <c r="N10" s="2"/>
      <c r="O10" s="2"/>
      <c r="P10" s="2"/>
      <c r="Q10" s="2"/>
      <c r="R10" s="2"/>
      <c r="S10" s="2"/>
      <c r="T10" s="2"/>
      <c r="U10" s="2"/>
      <c r="V10" s="2"/>
      <c r="W10" s="2"/>
      <c r="X10" s="2"/>
      <c r="Y10" s="2"/>
      <c r="Z10" s="2"/>
    </row>
    <row r="11" spans="1:26" x14ac:dyDescent="0.2">
      <c r="A11" s="3" t="s">
        <v>36</v>
      </c>
      <c r="B11" s="2"/>
      <c r="C11" s="3" t="s">
        <v>37</v>
      </c>
      <c r="D11" s="3" t="s">
        <v>9</v>
      </c>
      <c r="E11" s="3" t="s">
        <v>9</v>
      </c>
      <c r="F11" s="2"/>
      <c r="G11" s="3" t="s">
        <v>9</v>
      </c>
      <c r="H11" s="2"/>
      <c r="I11" s="2"/>
      <c r="J11" s="2"/>
      <c r="K11" s="2"/>
      <c r="L11" s="2"/>
      <c r="M11" s="2"/>
      <c r="N11" s="2"/>
      <c r="O11" s="2"/>
      <c r="P11" s="2"/>
      <c r="Q11" s="2"/>
      <c r="R11" s="2"/>
      <c r="S11" s="2"/>
      <c r="T11" s="2"/>
      <c r="U11" s="2"/>
      <c r="V11" s="2"/>
      <c r="W11" s="2"/>
      <c r="X11" s="2"/>
      <c r="Y11" s="2"/>
      <c r="Z11" s="2"/>
    </row>
    <row r="12" spans="1:26" x14ac:dyDescent="0.2">
      <c r="A12" s="3" t="s">
        <v>38</v>
      </c>
      <c r="B12" s="3" t="s">
        <v>39</v>
      </c>
      <c r="C12" s="3" t="s">
        <v>40</v>
      </c>
      <c r="D12" s="3" t="s">
        <v>41</v>
      </c>
      <c r="E12" s="3" t="s">
        <v>42</v>
      </c>
      <c r="F12" s="3" t="s">
        <v>43</v>
      </c>
      <c r="G12" s="3">
        <v>4</v>
      </c>
      <c r="H12" s="3" t="s">
        <v>171</v>
      </c>
      <c r="I12" s="2"/>
      <c r="J12" s="2"/>
      <c r="K12" s="2"/>
      <c r="L12" s="2"/>
      <c r="M12" s="2"/>
      <c r="N12" s="2"/>
      <c r="O12" s="2"/>
      <c r="P12" s="2"/>
      <c r="Q12" s="2"/>
      <c r="R12" s="2"/>
      <c r="S12" s="2"/>
      <c r="T12" s="2"/>
      <c r="U12" s="2"/>
      <c r="V12" s="2"/>
      <c r="W12" s="2"/>
      <c r="X12" s="2"/>
      <c r="Y12" s="2"/>
      <c r="Z12" s="2"/>
    </row>
    <row r="13" spans="1:26" x14ac:dyDescent="0.2">
      <c r="A13" s="3" t="s">
        <v>44</v>
      </c>
      <c r="B13" s="3" t="s">
        <v>45</v>
      </c>
      <c r="C13" s="3" t="s">
        <v>46</v>
      </c>
      <c r="D13" s="3" t="s">
        <v>47</v>
      </c>
      <c r="E13" s="3" t="s">
        <v>48</v>
      </c>
      <c r="F13" s="3" t="s">
        <v>49</v>
      </c>
      <c r="G13" s="3">
        <v>5</v>
      </c>
      <c r="H13" s="2"/>
      <c r="I13" s="2"/>
      <c r="J13" s="2"/>
      <c r="K13" s="2"/>
      <c r="L13" s="2"/>
      <c r="M13" s="2"/>
      <c r="N13" s="2"/>
      <c r="O13" s="2"/>
      <c r="P13" s="2"/>
      <c r="Q13" s="2"/>
      <c r="R13" s="2"/>
      <c r="S13" s="2"/>
      <c r="T13" s="2"/>
      <c r="U13" s="2"/>
      <c r="V13" s="2"/>
      <c r="W13" s="2"/>
      <c r="X13" s="2"/>
      <c r="Y13" s="2"/>
      <c r="Z13" s="2"/>
    </row>
    <row r="14" spans="1:26" x14ac:dyDescent="0.2">
      <c r="A14" s="3" t="s">
        <v>50</v>
      </c>
      <c r="B14" s="3" t="s">
        <v>51</v>
      </c>
      <c r="C14" s="3" t="s">
        <v>52</v>
      </c>
      <c r="D14" s="3" t="s">
        <v>53</v>
      </c>
      <c r="E14" s="3" t="s">
        <v>48</v>
      </c>
      <c r="F14" s="3" t="s">
        <v>54</v>
      </c>
      <c r="G14" s="3">
        <v>4</v>
      </c>
      <c r="H14" s="2"/>
      <c r="I14" s="2"/>
      <c r="J14" s="2"/>
      <c r="K14" s="2"/>
      <c r="L14" s="2"/>
      <c r="M14" s="2"/>
      <c r="N14" s="2"/>
      <c r="O14" s="2"/>
      <c r="P14" s="2"/>
      <c r="Q14" s="2"/>
      <c r="R14" s="2"/>
      <c r="S14" s="2"/>
      <c r="T14" s="2"/>
      <c r="U14" s="2"/>
      <c r="V14" s="2"/>
      <c r="W14" s="2"/>
      <c r="X14" s="2"/>
      <c r="Y14" s="2"/>
      <c r="Z14" s="2"/>
    </row>
    <row r="15" spans="1:26" x14ac:dyDescent="0.2">
      <c r="A15" s="3" t="s">
        <v>55</v>
      </c>
      <c r="B15" s="3" t="s">
        <v>56</v>
      </c>
      <c r="C15" s="3" t="s">
        <v>57</v>
      </c>
      <c r="D15" s="3" t="s">
        <v>58</v>
      </c>
      <c r="E15" s="3" t="s">
        <v>59</v>
      </c>
      <c r="F15" s="3" t="s">
        <v>60</v>
      </c>
      <c r="G15" s="3">
        <v>3</v>
      </c>
      <c r="H15" s="2"/>
      <c r="I15" s="2"/>
      <c r="J15" s="2"/>
      <c r="K15" s="2"/>
      <c r="L15" s="2"/>
      <c r="M15" s="2"/>
      <c r="N15" s="2"/>
      <c r="O15" s="2"/>
      <c r="P15" s="2"/>
      <c r="Q15" s="2"/>
      <c r="R15" s="2"/>
      <c r="S15" s="2"/>
      <c r="T15" s="2"/>
      <c r="U15" s="2"/>
      <c r="V15" s="2"/>
      <c r="W15" s="2"/>
      <c r="X15" s="2"/>
      <c r="Y15" s="2"/>
      <c r="Z15" s="2"/>
    </row>
    <row r="16" spans="1:26" x14ac:dyDescent="0.2">
      <c r="A16" s="3" t="s">
        <v>61</v>
      </c>
      <c r="B16" s="3" t="s">
        <v>51</v>
      </c>
      <c r="C16" s="3" t="s">
        <v>62</v>
      </c>
      <c r="D16" s="3" t="s">
        <v>53</v>
      </c>
      <c r="E16" s="3" t="s">
        <v>48</v>
      </c>
      <c r="F16" s="3" t="s">
        <v>54</v>
      </c>
      <c r="G16" s="3">
        <v>2</v>
      </c>
      <c r="H16" s="2"/>
      <c r="I16" s="2"/>
      <c r="J16" s="2"/>
      <c r="K16" s="2"/>
      <c r="L16" s="2"/>
      <c r="M16" s="2"/>
      <c r="N16" s="2"/>
      <c r="O16" s="2"/>
      <c r="P16" s="2"/>
      <c r="Q16" s="2"/>
      <c r="R16" s="2"/>
      <c r="S16" s="2"/>
      <c r="T16" s="2"/>
      <c r="U16" s="2"/>
      <c r="V16" s="2"/>
      <c r="W16" s="2"/>
      <c r="X16" s="2"/>
      <c r="Y16" s="2"/>
      <c r="Z16" s="2"/>
    </row>
    <row r="17" spans="1:28" x14ac:dyDescent="0.2">
      <c r="A17" s="1" t="s">
        <v>35</v>
      </c>
      <c r="B17" s="2"/>
      <c r="C17" s="2"/>
      <c r="D17" s="2"/>
      <c r="E17" s="2"/>
      <c r="F17" s="2"/>
      <c r="G17" s="3" t="s">
        <v>18</v>
      </c>
      <c r="H17" s="2"/>
      <c r="I17" s="2"/>
      <c r="J17" s="2"/>
      <c r="K17" s="2"/>
      <c r="L17" s="2"/>
      <c r="M17" s="2"/>
      <c r="N17" s="2"/>
      <c r="O17" s="2"/>
      <c r="P17" s="2"/>
      <c r="Q17" s="2"/>
      <c r="R17" s="2"/>
      <c r="S17" s="2"/>
      <c r="T17" s="2"/>
      <c r="U17" s="2"/>
      <c r="V17" s="2"/>
      <c r="W17" s="2"/>
      <c r="X17" s="2"/>
      <c r="Y17" s="2"/>
      <c r="Z17" s="2"/>
    </row>
    <row r="18" spans="1:28" x14ac:dyDescent="0.2">
      <c r="A18" s="3" t="s">
        <v>139</v>
      </c>
      <c r="B18" s="2"/>
      <c r="C18" s="3" t="s">
        <v>116</v>
      </c>
      <c r="D18" s="3" t="s">
        <v>9</v>
      </c>
      <c r="E18" s="3" t="s">
        <v>9</v>
      </c>
      <c r="F18" s="2"/>
      <c r="G18" s="3" t="s">
        <v>9</v>
      </c>
      <c r="H18" s="2"/>
      <c r="I18" s="2"/>
      <c r="J18" s="2"/>
      <c r="K18" s="2"/>
      <c r="L18" s="2"/>
      <c r="M18" s="2"/>
      <c r="N18" s="2"/>
      <c r="O18" s="2"/>
      <c r="P18" s="2"/>
      <c r="Q18" s="2"/>
      <c r="R18" s="2"/>
      <c r="S18" s="2"/>
      <c r="T18" s="2"/>
      <c r="U18" s="2"/>
      <c r="V18" s="2"/>
      <c r="W18" s="2"/>
      <c r="X18" s="2"/>
      <c r="Y18" s="2"/>
      <c r="Z18" s="2"/>
    </row>
    <row r="19" spans="1:28" x14ac:dyDescent="0.2">
      <c r="A19" s="3" t="s">
        <v>117</v>
      </c>
      <c r="B19" s="3" t="s">
        <v>118</v>
      </c>
      <c r="C19" s="3" t="s">
        <v>119</v>
      </c>
      <c r="D19" s="3" t="s">
        <v>120</v>
      </c>
      <c r="E19" s="3" t="s">
        <v>76</v>
      </c>
      <c r="F19" s="3" t="s">
        <v>121</v>
      </c>
      <c r="G19" s="3">
        <v>3</v>
      </c>
      <c r="H19" s="3" t="s">
        <v>172</v>
      </c>
      <c r="I19" s="2"/>
      <c r="J19" s="2"/>
      <c r="K19" s="2"/>
      <c r="L19" s="2"/>
      <c r="M19" s="2"/>
      <c r="N19" s="2"/>
      <c r="O19" s="2"/>
      <c r="P19" s="2"/>
      <c r="Q19" s="2"/>
      <c r="R19" s="2"/>
      <c r="S19" s="2"/>
      <c r="T19" s="2"/>
      <c r="U19" s="2"/>
      <c r="V19" s="2"/>
      <c r="W19" s="2"/>
      <c r="X19" s="2"/>
      <c r="Y19" s="2"/>
      <c r="Z19" s="2"/>
    </row>
    <row r="20" spans="1:28" x14ac:dyDescent="0.2">
      <c r="A20" s="3" t="s">
        <v>122</v>
      </c>
      <c r="B20" s="3" t="s">
        <v>99</v>
      </c>
      <c r="C20" s="3" t="s">
        <v>123</v>
      </c>
      <c r="D20" s="3" t="s">
        <v>101</v>
      </c>
      <c r="E20" s="3" t="s">
        <v>25</v>
      </c>
      <c r="F20" s="3" t="s">
        <v>121</v>
      </c>
      <c r="G20" s="3">
        <v>2</v>
      </c>
      <c r="H20" s="2"/>
      <c r="I20" s="2"/>
      <c r="J20" s="2"/>
      <c r="K20" s="2"/>
      <c r="L20" s="2"/>
      <c r="M20" s="2"/>
      <c r="N20" s="2"/>
      <c r="O20" s="2"/>
      <c r="P20" s="2"/>
      <c r="Q20" s="2"/>
      <c r="R20" s="2"/>
      <c r="S20" s="2"/>
      <c r="T20" s="2"/>
      <c r="U20" s="2"/>
      <c r="V20" s="2"/>
      <c r="W20" s="2"/>
      <c r="X20" s="2"/>
      <c r="Y20" s="2"/>
      <c r="Z20" s="2"/>
    </row>
    <row r="21" spans="1:28" x14ac:dyDescent="0.2">
      <c r="A21" s="3" t="s">
        <v>124</v>
      </c>
      <c r="B21" s="3" t="s">
        <v>125</v>
      </c>
      <c r="C21" s="3" t="s">
        <v>126</v>
      </c>
      <c r="D21" s="3" t="s">
        <v>127</v>
      </c>
      <c r="E21" s="3" t="s">
        <v>76</v>
      </c>
      <c r="F21" s="3" t="s">
        <v>121</v>
      </c>
      <c r="G21" s="3">
        <v>3</v>
      </c>
      <c r="H21" s="2"/>
      <c r="I21" s="2"/>
      <c r="J21" s="2"/>
      <c r="K21" s="2"/>
      <c r="L21" s="2"/>
      <c r="M21" s="2"/>
      <c r="N21" s="2"/>
      <c r="O21" s="2"/>
      <c r="P21" s="2"/>
      <c r="Q21" s="2"/>
      <c r="R21" s="2"/>
      <c r="S21" s="2"/>
      <c r="T21" s="2"/>
      <c r="U21" s="2"/>
      <c r="V21" s="2"/>
      <c r="W21" s="2"/>
      <c r="X21" s="2"/>
      <c r="Y21" s="2"/>
      <c r="Z21" s="2"/>
    </row>
    <row r="22" spans="1:28" x14ac:dyDescent="0.2">
      <c r="A22" s="3" t="s">
        <v>128</v>
      </c>
      <c r="B22" s="3" t="s">
        <v>99</v>
      </c>
      <c r="C22" s="3" t="s">
        <v>129</v>
      </c>
      <c r="D22" s="3" t="s">
        <v>101</v>
      </c>
      <c r="E22" s="3" t="s">
        <v>25</v>
      </c>
      <c r="F22" s="3" t="s">
        <v>102</v>
      </c>
      <c r="G22" s="3">
        <v>4</v>
      </c>
      <c r="H22" s="2"/>
      <c r="I22" s="2"/>
      <c r="J22" s="2"/>
      <c r="K22" s="2"/>
      <c r="L22" s="2"/>
      <c r="M22" s="2"/>
      <c r="N22" s="2"/>
      <c r="O22" s="2"/>
      <c r="P22" s="2"/>
      <c r="Q22" s="2"/>
      <c r="R22" s="2"/>
      <c r="S22" s="2"/>
      <c r="T22" s="2"/>
      <c r="U22" s="2"/>
      <c r="V22" s="2"/>
      <c r="W22" s="2"/>
      <c r="X22" s="2"/>
      <c r="Y22" s="2"/>
      <c r="Z22" s="2"/>
    </row>
    <row r="23" spans="1:28" x14ac:dyDescent="0.2">
      <c r="A23" s="3" t="s">
        <v>130</v>
      </c>
      <c r="B23" s="3" t="s">
        <v>99</v>
      </c>
      <c r="C23" s="3" t="s">
        <v>131</v>
      </c>
      <c r="D23" s="3" t="s">
        <v>101</v>
      </c>
      <c r="E23" s="3" t="s">
        <v>25</v>
      </c>
      <c r="F23" s="3" t="s">
        <v>102</v>
      </c>
      <c r="G23" s="3">
        <v>5</v>
      </c>
      <c r="H23" s="2"/>
      <c r="I23" s="2"/>
      <c r="J23" s="2"/>
      <c r="K23" s="2"/>
      <c r="L23" s="2"/>
      <c r="M23" s="2"/>
      <c r="N23" s="2"/>
      <c r="O23" s="2"/>
      <c r="P23" s="2"/>
      <c r="Q23" s="2"/>
      <c r="R23" s="2"/>
      <c r="S23" s="2"/>
      <c r="T23" s="2"/>
      <c r="U23" s="2"/>
      <c r="V23" s="2"/>
      <c r="W23" s="2"/>
      <c r="X23" s="2"/>
      <c r="Y23" s="2"/>
      <c r="Z23" s="2"/>
    </row>
    <row r="24" spans="1:28" x14ac:dyDescent="0.2">
      <c r="A24" s="3" t="s">
        <v>132</v>
      </c>
      <c r="B24" s="3" t="s">
        <v>133</v>
      </c>
      <c r="C24" s="3" t="s">
        <v>134</v>
      </c>
      <c r="D24" s="3">
        <v>2020</v>
      </c>
      <c r="E24" s="3" t="s">
        <v>76</v>
      </c>
      <c r="F24" s="4" t="s">
        <v>135</v>
      </c>
      <c r="G24" s="3">
        <v>2</v>
      </c>
      <c r="H24" s="2"/>
      <c r="I24" s="2"/>
      <c r="J24" s="2"/>
      <c r="K24" s="2"/>
      <c r="L24" s="2"/>
      <c r="M24" s="2"/>
      <c r="N24" s="2"/>
      <c r="O24" s="2"/>
      <c r="P24" s="2"/>
      <c r="Q24" s="2"/>
      <c r="R24" s="2"/>
      <c r="S24" s="2"/>
      <c r="T24" s="2"/>
      <c r="U24" s="2"/>
      <c r="V24" s="2"/>
      <c r="W24" s="2"/>
      <c r="X24" s="2"/>
      <c r="Y24" s="2"/>
      <c r="Z24" s="2"/>
    </row>
    <row r="25" spans="1:28" x14ac:dyDescent="0.2">
      <c r="A25" s="1" t="s">
        <v>35</v>
      </c>
      <c r="B25" s="2"/>
      <c r="C25" s="2"/>
      <c r="D25" s="2"/>
      <c r="E25" s="2"/>
      <c r="F25" s="2"/>
      <c r="G25" s="2"/>
      <c r="H25" s="2"/>
      <c r="I25" s="8" t="s">
        <v>173</v>
      </c>
      <c r="J25" s="9"/>
      <c r="K25" s="9"/>
      <c r="L25" s="9"/>
      <c r="M25" s="9"/>
      <c r="N25" s="9"/>
      <c r="O25" s="9"/>
      <c r="P25" s="9"/>
      <c r="Q25" s="9"/>
      <c r="R25" s="9"/>
      <c r="S25" s="9"/>
      <c r="T25" s="9"/>
      <c r="U25" s="9"/>
      <c r="V25" s="9"/>
      <c r="W25" s="9"/>
      <c r="X25" s="9"/>
      <c r="Y25" s="9"/>
      <c r="Z25" s="9"/>
      <c r="AA25" s="10"/>
      <c r="AB25" s="10"/>
    </row>
    <row r="26" spans="1:28" x14ac:dyDescent="0.2">
      <c r="A26" s="2"/>
      <c r="B26" s="2"/>
      <c r="C26" s="2"/>
      <c r="D26" s="2"/>
      <c r="E26" s="2"/>
      <c r="F26" s="2"/>
      <c r="G26" s="3" t="s">
        <v>9</v>
      </c>
      <c r="H26" s="2"/>
      <c r="I26" s="2"/>
      <c r="J26" s="2"/>
      <c r="K26" s="2"/>
      <c r="L26" s="2"/>
      <c r="M26" s="2"/>
      <c r="N26" s="2"/>
      <c r="O26" s="2"/>
      <c r="P26" s="2"/>
      <c r="Q26" s="2"/>
      <c r="R26" s="2"/>
      <c r="S26" s="2"/>
      <c r="T26" s="2"/>
      <c r="U26" s="2"/>
      <c r="V26" s="2"/>
      <c r="W26" s="2"/>
      <c r="X26" s="2"/>
      <c r="Y26" s="2"/>
      <c r="Z26" s="2"/>
    </row>
    <row r="27" spans="1:28" x14ac:dyDescent="0.2">
      <c r="A27" s="3" t="s">
        <v>63</v>
      </c>
      <c r="B27" s="2"/>
      <c r="C27" s="3" t="s">
        <v>64</v>
      </c>
      <c r="D27" s="3" t="s">
        <v>9</v>
      </c>
      <c r="E27" s="3" t="s">
        <v>9</v>
      </c>
      <c r="F27" s="2"/>
      <c r="G27" s="3" t="s">
        <v>9</v>
      </c>
      <c r="H27" s="2"/>
      <c r="I27" s="2"/>
      <c r="J27" s="2"/>
      <c r="K27" s="2"/>
      <c r="L27" s="2"/>
      <c r="M27" s="2"/>
      <c r="N27" s="2"/>
      <c r="O27" s="2"/>
      <c r="P27" s="2"/>
      <c r="Q27" s="2"/>
      <c r="R27" s="2"/>
      <c r="S27" s="2"/>
      <c r="T27" s="2"/>
      <c r="U27" s="2"/>
      <c r="V27" s="2"/>
      <c r="W27" s="2"/>
      <c r="X27" s="2"/>
      <c r="Y27" s="2"/>
      <c r="Z27" s="2"/>
    </row>
    <row r="28" spans="1:28" x14ac:dyDescent="0.2">
      <c r="A28" s="3" t="s">
        <v>65</v>
      </c>
      <c r="B28" s="2"/>
      <c r="C28" s="3" t="s">
        <v>66</v>
      </c>
      <c r="D28" s="3" t="s">
        <v>9</v>
      </c>
      <c r="E28" s="3" t="s">
        <v>9</v>
      </c>
      <c r="F28" s="2"/>
      <c r="G28" s="3" t="s">
        <v>9</v>
      </c>
      <c r="H28" s="2"/>
      <c r="I28" s="2"/>
      <c r="J28" s="2"/>
      <c r="K28" s="2"/>
      <c r="L28" s="2"/>
      <c r="M28" s="2"/>
      <c r="N28" s="2"/>
      <c r="O28" s="2"/>
      <c r="P28" s="2"/>
      <c r="Q28" s="2"/>
      <c r="R28" s="2"/>
      <c r="S28" s="2"/>
      <c r="T28" s="2"/>
      <c r="U28" s="2"/>
      <c r="V28" s="2"/>
      <c r="W28" s="2"/>
      <c r="X28" s="2"/>
      <c r="Y28" s="2"/>
      <c r="Z28" s="2"/>
    </row>
    <row r="29" spans="1:28" x14ac:dyDescent="0.2">
      <c r="A29" s="3" t="s">
        <v>67</v>
      </c>
      <c r="B29" s="3" t="s">
        <v>68</v>
      </c>
      <c r="C29" s="3" t="s">
        <v>69</v>
      </c>
      <c r="D29" s="3">
        <v>2017</v>
      </c>
      <c r="E29" s="3" t="s">
        <v>70</v>
      </c>
      <c r="F29" s="3" t="s">
        <v>71</v>
      </c>
      <c r="G29" s="3">
        <v>5</v>
      </c>
      <c r="H29" s="3" t="s">
        <v>174</v>
      </c>
      <c r="I29" s="2"/>
      <c r="J29" s="2"/>
      <c r="K29" s="2"/>
      <c r="L29" s="2"/>
      <c r="M29" s="2"/>
      <c r="N29" s="2"/>
      <c r="O29" s="2"/>
      <c r="P29" s="2"/>
      <c r="Q29" s="2"/>
      <c r="R29" s="2"/>
      <c r="S29" s="2"/>
      <c r="T29" s="2"/>
      <c r="U29" s="2"/>
      <c r="V29" s="2"/>
      <c r="W29" s="2"/>
      <c r="X29" s="2"/>
      <c r="Y29" s="2"/>
      <c r="Z29" s="2"/>
    </row>
    <row r="30" spans="1:28" x14ac:dyDescent="0.2">
      <c r="A30" s="3" t="s">
        <v>72</v>
      </c>
      <c r="B30" s="3" t="s">
        <v>73</v>
      </c>
      <c r="C30" s="3" t="s">
        <v>74</v>
      </c>
      <c r="D30" s="3" t="s">
        <v>75</v>
      </c>
      <c r="E30" s="3" t="s">
        <v>76</v>
      </c>
      <c r="F30" s="3" t="s">
        <v>77</v>
      </c>
      <c r="G30" s="3">
        <v>4</v>
      </c>
      <c r="H30" s="2"/>
      <c r="I30" s="2"/>
      <c r="J30" s="2"/>
      <c r="K30" s="2"/>
      <c r="L30" s="2"/>
      <c r="M30" s="2"/>
      <c r="N30" s="2"/>
      <c r="O30" s="2"/>
      <c r="P30" s="2"/>
      <c r="Q30" s="2"/>
      <c r="R30" s="2"/>
      <c r="S30" s="2"/>
      <c r="T30" s="2"/>
      <c r="U30" s="2"/>
      <c r="V30" s="2"/>
      <c r="W30" s="2"/>
      <c r="X30" s="2"/>
      <c r="Y30" s="2"/>
      <c r="Z30" s="2"/>
    </row>
    <row r="31" spans="1:28" x14ac:dyDescent="0.2">
      <c r="A31" s="3" t="s">
        <v>78</v>
      </c>
      <c r="B31" s="3" t="s">
        <v>79</v>
      </c>
      <c r="C31" s="3" t="s">
        <v>80</v>
      </c>
      <c r="D31" s="3" t="s">
        <v>81</v>
      </c>
      <c r="E31" s="3" t="s">
        <v>76</v>
      </c>
      <c r="F31" s="3" t="s">
        <v>82</v>
      </c>
      <c r="G31" s="3">
        <v>4</v>
      </c>
      <c r="H31" s="2"/>
      <c r="I31" s="2"/>
      <c r="J31" s="2"/>
      <c r="K31" s="2"/>
      <c r="L31" s="2"/>
      <c r="M31" s="2"/>
      <c r="N31" s="2"/>
      <c r="O31" s="2"/>
      <c r="P31" s="2"/>
      <c r="Q31" s="2"/>
      <c r="R31" s="2"/>
      <c r="S31" s="2"/>
      <c r="T31" s="2"/>
      <c r="U31" s="2"/>
      <c r="V31" s="2"/>
      <c r="W31" s="2"/>
      <c r="X31" s="2"/>
      <c r="Y31" s="2"/>
      <c r="Z31" s="2"/>
    </row>
    <row r="32" spans="1:28" x14ac:dyDescent="0.2">
      <c r="A32" s="3" t="s">
        <v>83</v>
      </c>
      <c r="B32" s="3" t="s">
        <v>84</v>
      </c>
      <c r="C32" s="3" t="s">
        <v>85</v>
      </c>
      <c r="D32" s="3" t="s">
        <v>86</v>
      </c>
      <c r="E32" s="3" t="s">
        <v>76</v>
      </c>
      <c r="F32" s="3" t="s">
        <v>87</v>
      </c>
      <c r="G32" s="3">
        <v>4</v>
      </c>
      <c r="H32" s="2"/>
      <c r="I32" s="2"/>
      <c r="J32" s="2"/>
      <c r="K32" s="2"/>
      <c r="L32" s="2"/>
      <c r="M32" s="2"/>
      <c r="N32" s="2"/>
      <c r="O32" s="2"/>
      <c r="P32" s="2"/>
      <c r="Q32" s="2"/>
      <c r="R32" s="2"/>
      <c r="S32" s="2"/>
      <c r="T32" s="2"/>
      <c r="U32" s="2"/>
      <c r="V32" s="2"/>
      <c r="W32" s="2"/>
      <c r="X32" s="2"/>
      <c r="Y32" s="2"/>
      <c r="Z32" s="2"/>
    </row>
    <row r="33" spans="1:26" x14ac:dyDescent="0.2">
      <c r="A33" s="3" t="s">
        <v>88</v>
      </c>
      <c r="B33" s="3" t="s">
        <v>89</v>
      </c>
      <c r="C33" s="3" t="s">
        <v>90</v>
      </c>
      <c r="D33" s="3" t="s">
        <v>81</v>
      </c>
      <c r="E33" s="3" t="s">
        <v>91</v>
      </c>
      <c r="F33" s="3" t="s">
        <v>92</v>
      </c>
      <c r="G33" s="3">
        <v>3</v>
      </c>
      <c r="H33" s="2"/>
      <c r="I33" s="2"/>
      <c r="J33" s="2"/>
      <c r="K33" s="2"/>
      <c r="L33" s="2"/>
      <c r="M33" s="2"/>
      <c r="N33" s="2"/>
      <c r="O33" s="2"/>
      <c r="P33" s="2"/>
      <c r="Q33" s="2"/>
      <c r="R33" s="2"/>
      <c r="S33" s="2"/>
      <c r="T33" s="2"/>
      <c r="U33" s="2"/>
      <c r="V33" s="2"/>
      <c r="W33" s="2"/>
      <c r="X33" s="2"/>
      <c r="Y33" s="2"/>
      <c r="Z33" s="2"/>
    </row>
    <row r="34" spans="1:26" x14ac:dyDescent="0.2">
      <c r="A34" s="3" t="s">
        <v>93</v>
      </c>
      <c r="B34" s="3" t="s">
        <v>94</v>
      </c>
      <c r="C34" s="3" t="s">
        <v>95</v>
      </c>
      <c r="D34" s="3" t="s">
        <v>96</v>
      </c>
      <c r="E34" s="3" t="s">
        <v>91</v>
      </c>
      <c r="F34" s="3" t="s">
        <v>97</v>
      </c>
      <c r="G34" s="3">
        <v>3</v>
      </c>
      <c r="H34" s="2"/>
      <c r="I34" s="2"/>
      <c r="J34" s="2"/>
      <c r="K34" s="2"/>
      <c r="L34" s="2"/>
      <c r="M34" s="2"/>
      <c r="N34" s="2"/>
      <c r="O34" s="2"/>
      <c r="P34" s="2"/>
      <c r="Q34" s="2"/>
      <c r="R34" s="2"/>
      <c r="S34" s="2"/>
      <c r="T34" s="2"/>
      <c r="U34" s="2"/>
      <c r="V34" s="2"/>
      <c r="W34" s="2"/>
      <c r="X34" s="2"/>
      <c r="Y34" s="2"/>
      <c r="Z34" s="2"/>
    </row>
    <row r="35" spans="1:26" x14ac:dyDescent="0.2">
      <c r="A35" s="3" t="s">
        <v>98</v>
      </c>
      <c r="B35" s="3" t="s">
        <v>99</v>
      </c>
      <c r="C35" s="3" t="s">
        <v>100</v>
      </c>
      <c r="D35" s="3" t="s">
        <v>101</v>
      </c>
      <c r="E35" s="3" t="s">
        <v>25</v>
      </c>
      <c r="F35" s="3" t="s">
        <v>102</v>
      </c>
      <c r="G35" s="3">
        <v>2</v>
      </c>
      <c r="H35" s="2"/>
      <c r="I35" s="2"/>
      <c r="J35" s="2"/>
      <c r="K35" s="2"/>
      <c r="L35" s="2"/>
      <c r="M35" s="2"/>
      <c r="N35" s="2"/>
      <c r="O35" s="2"/>
      <c r="P35" s="2"/>
      <c r="Q35" s="2"/>
      <c r="R35" s="2"/>
      <c r="S35" s="2"/>
      <c r="T35" s="2"/>
      <c r="U35" s="2"/>
      <c r="V35" s="2"/>
      <c r="W35" s="2"/>
      <c r="X35" s="2"/>
      <c r="Y35" s="2"/>
      <c r="Z35" s="2"/>
    </row>
    <row r="36" spans="1:26" x14ac:dyDescent="0.2">
      <c r="A36" s="1" t="s">
        <v>35</v>
      </c>
      <c r="B36" s="2"/>
      <c r="C36" s="2"/>
      <c r="D36" s="2"/>
      <c r="E36" s="2"/>
      <c r="F36" s="2"/>
      <c r="G36" s="3" t="s">
        <v>18</v>
      </c>
      <c r="H36" s="2"/>
      <c r="I36" s="3" t="s">
        <v>175</v>
      </c>
      <c r="J36" s="2"/>
      <c r="K36" s="2"/>
      <c r="L36" s="2"/>
      <c r="M36" s="2"/>
      <c r="N36" s="2"/>
      <c r="O36" s="2"/>
      <c r="P36" s="2"/>
      <c r="Q36" s="2"/>
      <c r="R36" s="2"/>
      <c r="S36" s="2"/>
      <c r="T36" s="2"/>
      <c r="U36" s="2"/>
      <c r="V36" s="2"/>
      <c r="W36" s="2"/>
      <c r="X36" s="2"/>
      <c r="Y36" s="2"/>
      <c r="Z36" s="2"/>
    </row>
    <row r="37" spans="1:26" x14ac:dyDescent="0.2">
      <c r="A37" s="3" t="s">
        <v>103</v>
      </c>
      <c r="B37" s="2"/>
      <c r="C37" s="3" t="s">
        <v>104</v>
      </c>
      <c r="D37" s="3" t="s">
        <v>9</v>
      </c>
      <c r="E37" s="3" t="s">
        <v>9</v>
      </c>
      <c r="F37" s="2"/>
      <c r="G37" s="3" t="s">
        <v>9</v>
      </c>
      <c r="H37" s="2"/>
      <c r="I37" s="2"/>
      <c r="J37" s="2"/>
      <c r="K37" s="2"/>
      <c r="L37" s="2"/>
      <c r="M37" s="2"/>
      <c r="N37" s="2"/>
      <c r="O37" s="2"/>
      <c r="P37" s="2"/>
      <c r="Q37" s="2"/>
      <c r="R37" s="2"/>
      <c r="S37" s="2"/>
      <c r="T37" s="2"/>
      <c r="U37" s="2"/>
      <c r="V37" s="2"/>
      <c r="W37" s="2"/>
      <c r="X37" s="2"/>
      <c r="Y37" s="2"/>
      <c r="Z37" s="2"/>
    </row>
    <row r="38" spans="1:26" x14ac:dyDescent="0.2">
      <c r="A38" s="3" t="s">
        <v>105</v>
      </c>
      <c r="B38" s="3" t="s">
        <v>106</v>
      </c>
      <c r="C38" s="3" t="s">
        <v>107</v>
      </c>
      <c r="D38" s="3" t="s">
        <v>108</v>
      </c>
      <c r="E38" s="3" t="s">
        <v>109</v>
      </c>
      <c r="F38" s="2"/>
      <c r="G38" s="3">
        <v>2</v>
      </c>
      <c r="H38" s="3" t="s">
        <v>176</v>
      </c>
      <c r="I38" s="2"/>
      <c r="J38" s="2"/>
      <c r="K38" s="2"/>
      <c r="L38" s="2"/>
      <c r="M38" s="2"/>
      <c r="N38" s="2"/>
      <c r="O38" s="2"/>
      <c r="P38" s="2"/>
      <c r="Q38" s="2"/>
      <c r="R38" s="2"/>
      <c r="S38" s="2"/>
      <c r="T38" s="2"/>
      <c r="U38" s="2"/>
      <c r="V38" s="2"/>
      <c r="W38" s="2"/>
      <c r="X38" s="2"/>
      <c r="Y38" s="2"/>
      <c r="Z38" s="2"/>
    </row>
    <row r="39" spans="1:26" x14ac:dyDescent="0.2">
      <c r="A39" s="3" t="s">
        <v>110</v>
      </c>
      <c r="B39" s="3" t="s">
        <v>106</v>
      </c>
      <c r="C39" s="3" t="s">
        <v>111</v>
      </c>
      <c r="D39" s="3" t="s">
        <v>108</v>
      </c>
      <c r="E39" s="3" t="s">
        <v>112</v>
      </c>
      <c r="F39" s="2"/>
      <c r="G39" s="3">
        <v>2</v>
      </c>
      <c r="H39" s="2"/>
      <c r="I39" s="2"/>
      <c r="J39" s="2"/>
      <c r="K39" s="2"/>
      <c r="L39" s="2"/>
      <c r="M39" s="2"/>
      <c r="N39" s="2"/>
      <c r="O39" s="2"/>
      <c r="P39" s="2"/>
      <c r="Q39" s="2"/>
      <c r="R39" s="2"/>
      <c r="S39" s="2"/>
      <c r="T39" s="2"/>
      <c r="U39" s="2"/>
      <c r="V39" s="2"/>
      <c r="W39" s="2"/>
      <c r="X39" s="2"/>
      <c r="Y39" s="2"/>
      <c r="Z39" s="2"/>
    </row>
    <row r="40" spans="1:26" x14ac:dyDescent="0.2">
      <c r="A40" s="3" t="s">
        <v>113</v>
      </c>
      <c r="B40" s="3" t="s">
        <v>106</v>
      </c>
      <c r="C40" s="3" t="s">
        <v>114</v>
      </c>
      <c r="D40" s="3" t="s">
        <v>108</v>
      </c>
      <c r="E40" s="3" t="s">
        <v>115</v>
      </c>
      <c r="F40" s="2"/>
      <c r="G40" s="3">
        <v>3</v>
      </c>
      <c r="H40" s="2"/>
      <c r="I40" s="2"/>
      <c r="J40" s="2"/>
      <c r="K40" s="2"/>
      <c r="L40" s="2"/>
      <c r="M40" s="2"/>
      <c r="N40" s="2"/>
      <c r="O40" s="2"/>
      <c r="P40" s="2"/>
      <c r="Q40" s="2"/>
      <c r="R40" s="2"/>
      <c r="S40" s="2"/>
      <c r="T40" s="2"/>
      <c r="U40" s="2"/>
      <c r="V40" s="2"/>
      <c r="W40" s="2"/>
      <c r="X40" s="2"/>
      <c r="Y40" s="2"/>
      <c r="Z40" s="2"/>
    </row>
    <row r="41" spans="1:26" x14ac:dyDescent="0.2">
      <c r="A41" s="1" t="s">
        <v>35</v>
      </c>
      <c r="B41" s="2"/>
      <c r="C41" s="2"/>
      <c r="D41" s="2"/>
      <c r="E41" s="2"/>
      <c r="F41" s="2"/>
      <c r="G41" s="3" t="s">
        <v>18</v>
      </c>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ef="F24" r:id="rId1" xr:uid="{94D6F21F-4F9F-E748-96D1-32187F14516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219B9-F58A-2C45-86C7-A28E1553494A}">
  <dimension ref="A1:Z1000"/>
  <sheetViews>
    <sheetView workbookViewId="0">
      <selection activeCell="A26" sqref="A26"/>
    </sheetView>
  </sheetViews>
  <sheetFormatPr baseColWidth="10" defaultRowHeight="16" x14ac:dyDescent="0.2"/>
  <sheetData>
    <row r="1" spans="1:26" x14ac:dyDescent="0.2">
      <c r="A1" s="1" t="s">
        <v>0</v>
      </c>
      <c r="B1" s="1" t="s">
        <v>1</v>
      </c>
      <c r="C1" s="1" t="s">
        <v>2</v>
      </c>
      <c r="D1" s="1" t="s">
        <v>3</v>
      </c>
      <c r="E1" s="1" t="s">
        <v>4</v>
      </c>
      <c r="F1" s="1" t="s">
        <v>5</v>
      </c>
      <c r="G1" s="1" t="s">
        <v>6</v>
      </c>
      <c r="H1" s="2"/>
      <c r="I1" s="1" t="s">
        <v>136</v>
      </c>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3" t="s">
        <v>7</v>
      </c>
      <c r="B3" s="2"/>
      <c r="C3" s="3" t="s">
        <v>8</v>
      </c>
      <c r="D3" s="3" t="s">
        <v>9</v>
      </c>
      <c r="E3" s="3" t="s">
        <v>9</v>
      </c>
      <c r="F3" s="2"/>
      <c r="G3" s="3" t="s">
        <v>9</v>
      </c>
      <c r="H3" s="2"/>
      <c r="I3" s="2"/>
      <c r="J3" s="2"/>
      <c r="K3" s="2"/>
      <c r="L3" s="2"/>
      <c r="M3" s="2"/>
      <c r="N3" s="2"/>
      <c r="O3" s="2"/>
      <c r="P3" s="2"/>
      <c r="Q3" s="2"/>
      <c r="R3" s="2"/>
      <c r="S3" s="2"/>
      <c r="T3" s="2"/>
      <c r="U3" s="2"/>
      <c r="V3" s="2"/>
      <c r="W3" s="2"/>
      <c r="X3" s="2"/>
      <c r="Y3" s="2"/>
      <c r="Z3" s="2"/>
    </row>
    <row r="4" spans="1:26" x14ac:dyDescent="0.2">
      <c r="A4" s="3" t="s">
        <v>10</v>
      </c>
      <c r="B4" s="2"/>
      <c r="C4" s="3" t="s">
        <v>11</v>
      </c>
      <c r="D4" s="3" t="s">
        <v>9</v>
      </c>
      <c r="E4" s="3" t="s">
        <v>9</v>
      </c>
      <c r="F4" s="2"/>
      <c r="G4" s="3" t="s">
        <v>9</v>
      </c>
      <c r="H4" s="2"/>
      <c r="I4" s="2"/>
      <c r="J4" s="2"/>
      <c r="K4" s="2"/>
      <c r="L4" s="2"/>
      <c r="M4" s="2"/>
      <c r="N4" s="2"/>
      <c r="O4" s="2"/>
      <c r="P4" s="2"/>
      <c r="Q4" s="2"/>
      <c r="R4" s="2"/>
      <c r="S4" s="2"/>
      <c r="T4" s="2"/>
      <c r="U4" s="2"/>
      <c r="V4" s="2"/>
      <c r="W4" s="2"/>
      <c r="X4" s="2"/>
      <c r="Y4" s="2"/>
      <c r="Z4" s="2"/>
    </row>
    <row r="5" spans="1:26" x14ac:dyDescent="0.2">
      <c r="A5" s="3" t="s">
        <v>12</v>
      </c>
      <c r="B5" s="3" t="s">
        <v>13</v>
      </c>
      <c r="C5" s="3" t="s">
        <v>14</v>
      </c>
      <c r="D5" s="3" t="s">
        <v>15</v>
      </c>
      <c r="E5" s="3" t="s">
        <v>16</v>
      </c>
      <c r="F5" s="3" t="s">
        <v>17</v>
      </c>
      <c r="G5" s="3">
        <v>4</v>
      </c>
      <c r="H5" s="2"/>
      <c r="J5" s="2"/>
      <c r="K5" s="2"/>
      <c r="L5" s="2"/>
      <c r="M5" s="2"/>
      <c r="N5" s="2"/>
      <c r="O5" s="2"/>
      <c r="P5" s="2"/>
      <c r="Q5" s="2"/>
      <c r="R5" s="2"/>
      <c r="S5" s="2"/>
      <c r="T5" s="2"/>
      <c r="U5" s="2"/>
      <c r="V5" s="2"/>
      <c r="W5" s="2"/>
      <c r="X5" s="2"/>
      <c r="Y5" s="2"/>
      <c r="Z5" s="2"/>
    </row>
    <row r="6" spans="1:26" x14ac:dyDescent="0.2">
      <c r="A6" s="3" t="s">
        <v>19</v>
      </c>
      <c r="B6" s="3" t="s">
        <v>13</v>
      </c>
      <c r="C6" s="3" t="s">
        <v>20</v>
      </c>
      <c r="D6" s="3" t="s">
        <v>15</v>
      </c>
      <c r="E6" s="3" t="s">
        <v>16</v>
      </c>
      <c r="F6" s="3" t="s">
        <v>17</v>
      </c>
      <c r="G6" s="3">
        <v>2</v>
      </c>
      <c r="H6" s="2"/>
      <c r="J6" s="2"/>
      <c r="K6" s="2"/>
      <c r="L6" s="2"/>
      <c r="M6" s="2"/>
      <c r="N6" s="2"/>
      <c r="O6" s="2"/>
      <c r="P6" s="2"/>
      <c r="Q6" s="2"/>
      <c r="R6" s="2"/>
      <c r="S6" s="2"/>
      <c r="T6" s="2"/>
      <c r="U6" s="2"/>
      <c r="V6" s="2"/>
      <c r="W6" s="2"/>
      <c r="X6" s="2"/>
      <c r="Y6" s="2"/>
      <c r="Z6" s="2"/>
    </row>
    <row r="7" spans="1:26" x14ac:dyDescent="0.2">
      <c r="A7" s="3" t="s">
        <v>21</v>
      </c>
      <c r="B7" s="3" t="s">
        <v>22</v>
      </c>
      <c r="C7" s="3" t="s">
        <v>23</v>
      </c>
      <c r="D7" s="3" t="s">
        <v>24</v>
      </c>
      <c r="E7" s="3" t="s">
        <v>25</v>
      </c>
      <c r="F7" s="3" t="s">
        <v>26</v>
      </c>
      <c r="G7" s="3">
        <v>3</v>
      </c>
      <c r="H7" s="2"/>
      <c r="J7" s="2"/>
      <c r="K7" s="2"/>
      <c r="L7" s="2"/>
      <c r="M7" s="2"/>
      <c r="N7" s="2"/>
      <c r="O7" s="2"/>
      <c r="P7" s="2"/>
      <c r="Q7" s="2"/>
      <c r="R7" s="2"/>
      <c r="S7" s="2"/>
      <c r="T7" s="2"/>
      <c r="U7" s="2"/>
      <c r="V7" s="2"/>
      <c r="W7" s="2"/>
      <c r="X7" s="2"/>
      <c r="Y7" s="2"/>
      <c r="Z7" s="2"/>
    </row>
    <row r="8" spans="1:26" x14ac:dyDescent="0.2">
      <c r="A8" s="3" t="s">
        <v>27</v>
      </c>
      <c r="B8" s="3" t="s">
        <v>28</v>
      </c>
      <c r="C8" s="3" t="s">
        <v>29</v>
      </c>
      <c r="D8" s="3" t="s">
        <v>30</v>
      </c>
      <c r="E8" s="3" t="s">
        <v>31</v>
      </c>
      <c r="F8" s="3" t="s">
        <v>32</v>
      </c>
      <c r="G8" s="3">
        <v>4</v>
      </c>
      <c r="H8" s="3" t="s">
        <v>231</v>
      </c>
      <c r="J8" s="2"/>
      <c r="K8" s="2"/>
      <c r="L8" s="2"/>
      <c r="M8" s="2"/>
      <c r="N8" s="2"/>
      <c r="O8" s="2"/>
      <c r="P8" s="2"/>
      <c r="Q8" s="2"/>
      <c r="R8" s="2"/>
      <c r="S8" s="2"/>
      <c r="T8" s="2"/>
      <c r="U8" s="2"/>
      <c r="V8" s="2"/>
      <c r="W8" s="2"/>
      <c r="X8" s="2"/>
      <c r="Y8" s="2"/>
      <c r="Z8" s="2"/>
    </row>
    <row r="9" spans="1:26" x14ac:dyDescent="0.2">
      <c r="A9" s="3" t="s">
        <v>33</v>
      </c>
      <c r="B9" s="3" t="s">
        <v>28</v>
      </c>
      <c r="C9" s="3" t="s">
        <v>34</v>
      </c>
      <c r="D9" s="3" t="s">
        <v>30</v>
      </c>
      <c r="E9" s="3" t="s">
        <v>31</v>
      </c>
      <c r="F9" s="3" t="s">
        <v>32</v>
      </c>
      <c r="G9" s="3">
        <v>5</v>
      </c>
      <c r="H9" s="2"/>
      <c r="J9" s="2"/>
      <c r="K9" s="2"/>
      <c r="L9" s="2"/>
      <c r="M9" s="2"/>
      <c r="N9" s="2"/>
      <c r="O9" s="2"/>
      <c r="P9" s="2"/>
      <c r="Q9" s="2"/>
      <c r="R9" s="2"/>
      <c r="S9" s="2"/>
      <c r="T9" s="2"/>
      <c r="U9" s="2"/>
      <c r="V9" s="2"/>
      <c r="W9" s="2"/>
      <c r="X9" s="2"/>
      <c r="Y9" s="2"/>
      <c r="Z9" s="2"/>
    </row>
    <row r="10" spans="1:26" x14ac:dyDescent="0.2">
      <c r="A10" s="1" t="s">
        <v>35</v>
      </c>
      <c r="B10" s="2"/>
      <c r="C10" s="2"/>
      <c r="D10" s="2"/>
      <c r="E10" s="2"/>
      <c r="F10" s="2"/>
      <c r="G10" s="2"/>
      <c r="H10" s="2"/>
      <c r="J10" s="2"/>
      <c r="K10" s="2"/>
      <c r="L10" s="2"/>
      <c r="M10" s="2"/>
      <c r="N10" s="2"/>
      <c r="O10" s="2"/>
      <c r="P10" s="2"/>
      <c r="Q10" s="2"/>
      <c r="R10" s="2"/>
      <c r="S10" s="2"/>
      <c r="T10" s="2"/>
      <c r="U10" s="2"/>
      <c r="V10" s="2"/>
      <c r="W10" s="2"/>
      <c r="X10" s="2"/>
      <c r="Y10" s="2"/>
      <c r="Z10" s="2"/>
    </row>
    <row r="11" spans="1:26" x14ac:dyDescent="0.2">
      <c r="A11" s="3" t="s">
        <v>36</v>
      </c>
      <c r="B11" s="2"/>
      <c r="C11" s="3" t="s">
        <v>37</v>
      </c>
      <c r="D11" s="3" t="s">
        <v>9</v>
      </c>
      <c r="E11" s="3" t="s">
        <v>9</v>
      </c>
      <c r="F11" s="2"/>
      <c r="G11" s="2"/>
      <c r="H11" s="2"/>
      <c r="J11" s="2"/>
      <c r="K11" s="2"/>
      <c r="L11" s="2"/>
      <c r="M11" s="2"/>
      <c r="N11" s="2"/>
      <c r="O11" s="2"/>
      <c r="P11" s="2"/>
      <c r="Q11" s="2"/>
      <c r="R11" s="2"/>
      <c r="S11" s="2"/>
      <c r="T11" s="2"/>
      <c r="U11" s="2"/>
      <c r="V11" s="2"/>
      <c r="W11" s="2"/>
      <c r="X11" s="2"/>
      <c r="Y11" s="2"/>
      <c r="Z11" s="2"/>
    </row>
    <row r="12" spans="1:26" x14ac:dyDescent="0.2">
      <c r="A12" s="3" t="s">
        <v>38</v>
      </c>
      <c r="B12" s="3" t="s">
        <v>39</v>
      </c>
      <c r="C12" s="3" t="s">
        <v>40</v>
      </c>
      <c r="D12" s="3" t="s">
        <v>41</v>
      </c>
      <c r="E12" s="3" t="s">
        <v>42</v>
      </c>
      <c r="F12" s="3" t="s">
        <v>43</v>
      </c>
      <c r="G12" s="3">
        <v>5</v>
      </c>
      <c r="H12" s="3" t="s">
        <v>232</v>
      </c>
      <c r="J12" s="2"/>
      <c r="K12" s="2"/>
      <c r="L12" s="2"/>
      <c r="M12" s="2"/>
      <c r="N12" s="2"/>
      <c r="O12" s="2"/>
      <c r="P12" s="2"/>
      <c r="Q12" s="2"/>
      <c r="R12" s="2"/>
      <c r="S12" s="2"/>
      <c r="T12" s="2"/>
      <c r="U12" s="2"/>
      <c r="V12" s="2"/>
      <c r="W12" s="2"/>
      <c r="X12" s="2"/>
      <c r="Y12" s="2"/>
      <c r="Z12" s="2"/>
    </row>
    <row r="13" spans="1:26" x14ac:dyDescent="0.2">
      <c r="A13" s="3" t="s">
        <v>44</v>
      </c>
      <c r="B13" s="3" t="s">
        <v>45</v>
      </c>
      <c r="C13" s="3" t="s">
        <v>46</v>
      </c>
      <c r="D13" s="3" t="s">
        <v>47</v>
      </c>
      <c r="E13" s="3" t="s">
        <v>48</v>
      </c>
      <c r="F13" s="3" t="s">
        <v>49</v>
      </c>
      <c r="G13" s="3">
        <v>4</v>
      </c>
      <c r="H13" s="2"/>
      <c r="J13" s="2"/>
      <c r="K13" s="2"/>
      <c r="L13" s="2"/>
      <c r="M13" s="2"/>
      <c r="N13" s="2"/>
      <c r="O13" s="2"/>
      <c r="P13" s="2"/>
      <c r="Q13" s="2"/>
      <c r="R13" s="2"/>
      <c r="S13" s="2"/>
      <c r="T13" s="2"/>
      <c r="U13" s="2"/>
      <c r="V13" s="2"/>
      <c r="W13" s="2"/>
      <c r="X13" s="2"/>
      <c r="Y13" s="2"/>
      <c r="Z13" s="2"/>
    </row>
    <row r="14" spans="1:26" x14ac:dyDescent="0.2">
      <c r="A14" s="3" t="s">
        <v>50</v>
      </c>
      <c r="B14" s="3" t="s">
        <v>51</v>
      </c>
      <c r="C14" s="3" t="s">
        <v>52</v>
      </c>
      <c r="D14" s="3" t="s">
        <v>53</v>
      </c>
      <c r="E14" s="3" t="s">
        <v>48</v>
      </c>
      <c r="F14" s="3" t="s">
        <v>54</v>
      </c>
      <c r="G14" s="3">
        <v>4</v>
      </c>
      <c r="H14" s="2"/>
      <c r="J14" s="2"/>
      <c r="K14" s="2"/>
      <c r="L14" s="2"/>
      <c r="M14" s="2"/>
      <c r="N14" s="2"/>
      <c r="O14" s="2"/>
      <c r="P14" s="2"/>
      <c r="Q14" s="2"/>
      <c r="R14" s="2"/>
      <c r="S14" s="2"/>
      <c r="T14" s="2"/>
      <c r="U14" s="2"/>
      <c r="V14" s="2"/>
      <c r="W14" s="2"/>
      <c r="X14" s="2"/>
      <c r="Y14" s="2"/>
      <c r="Z14" s="2"/>
    </row>
    <row r="15" spans="1:26" x14ac:dyDescent="0.2">
      <c r="A15" s="3" t="s">
        <v>55</v>
      </c>
      <c r="B15" s="3" t="s">
        <v>56</v>
      </c>
      <c r="C15" s="3" t="s">
        <v>57</v>
      </c>
      <c r="D15" s="3" t="s">
        <v>58</v>
      </c>
      <c r="E15" s="3" t="s">
        <v>59</v>
      </c>
      <c r="F15" s="3" t="s">
        <v>60</v>
      </c>
      <c r="G15" s="3">
        <v>4</v>
      </c>
      <c r="H15" s="3" t="s">
        <v>233</v>
      </c>
      <c r="J15" s="2"/>
      <c r="K15" s="2"/>
      <c r="L15" s="2"/>
      <c r="M15" s="2"/>
      <c r="N15" s="2"/>
      <c r="O15" s="2"/>
      <c r="P15" s="2"/>
      <c r="Q15" s="2"/>
      <c r="R15" s="2"/>
      <c r="S15" s="2"/>
      <c r="T15" s="2"/>
      <c r="U15" s="2"/>
      <c r="V15" s="2"/>
      <c r="W15" s="2"/>
      <c r="X15" s="2"/>
      <c r="Y15" s="2"/>
      <c r="Z15" s="2"/>
    </row>
    <row r="16" spans="1:26" x14ac:dyDescent="0.2">
      <c r="A16" s="3" t="s">
        <v>61</v>
      </c>
      <c r="B16" s="3" t="s">
        <v>51</v>
      </c>
      <c r="C16" s="3" t="s">
        <v>62</v>
      </c>
      <c r="D16" s="3" t="s">
        <v>53</v>
      </c>
      <c r="E16" s="3" t="s">
        <v>48</v>
      </c>
      <c r="F16" s="3" t="s">
        <v>54</v>
      </c>
      <c r="G16" s="3">
        <v>3</v>
      </c>
      <c r="H16" s="2"/>
      <c r="J16" s="2"/>
      <c r="K16" s="2"/>
      <c r="L16" s="2"/>
      <c r="M16" s="2"/>
      <c r="N16" s="2"/>
      <c r="O16" s="2"/>
      <c r="P16" s="2"/>
      <c r="Q16" s="2"/>
      <c r="R16" s="2"/>
      <c r="S16" s="2"/>
      <c r="T16" s="2"/>
      <c r="U16" s="2"/>
      <c r="V16" s="2"/>
      <c r="W16" s="2"/>
      <c r="X16" s="2"/>
      <c r="Y16" s="2"/>
      <c r="Z16" s="2"/>
    </row>
    <row r="17" spans="1:26" x14ac:dyDescent="0.2">
      <c r="A17" s="1" t="s">
        <v>35</v>
      </c>
      <c r="B17" s="2"/>
      <c r="C17" s="2"/>
      <c r="D17" s="2"/>
      <c r="E17" s="2"/>
      <c r="F17" s="2"/>
      <c r="G17" s="2"/>
      <c r="H17" s="2"/>
      <c r="J17" s="2"/>
      <c r="K17" s="2"/>
      <c r="L17" s="2"/>
      <c r="M17" s="2"/>
      <c r="N17" s="2"/>
      <c r="O17" s="2"/>
      <c r="P17" s="2"/>
      <c r="Q17" s="2"/>
      <c r="R17" s="2"/>
      <c r="S17" s="2"/>
      <c r="T17" s="2"/>
      <c r="U17" s="2"/>
      <c r="V17" s="2"/>
      <c r="W17" s="2"/>
      <c r="X17" s="2"/>
      <c r="Y17" s="2"/>
      <c r="Z17" s="2"/>
    </row>
    <row r="18" spans="1:26" x14ac:dyDescent="0.2">
      <c r="A18" s="3" t="s">
        <v>139</v>
      </c>
      <c r="B18" s="2"/>
      <c r="C18" s="3" t="s">
        <v>116</v>
      </c>
      <c r="D18" s="3" t="s">
        <v>9</v>
      </c>
      <c r="E18" s="3" t="s">
        <v>9</v>
      </c>
      <c r="F18" s="2"/>
      <c r="G18" s="2"/>
      <c r="H18" s="2"/>
      <c r="J18" s="2"/>
      <c r="K18" s="2"/>
      <c r="L18" s="2"/>
      <c r="M18" s="2"/>
      <c r="N18" s="2"/>
      <c r="O18" s="2"/>
      <c r="P18" s="2"/>
      <c r="Q18" s="2"/>
      <c r="R18" s="2"/>
      <c r="S18" s="2"/>
      <c r="T18" s="2"/>
      <c r="U18" s="2"/>
      <c r="V18" s="2"/>
      <c r="W18" s="2"/>
      <c r="X18" s="2"/>
      <c r="Y18" s="2"/>
      <c r="Z18" s="2"/>
    </row>
    <row r="19" spans="1:26" x14ac:dyDescent="0.2">
      <c r="A19" s="3" t="s">
        <v>117</v>
      </c>
      <c r="B19" s="3" t="s">
        <v>118</v>
      </c>
      <c r="C19" s="3" t="s">
        <v>119</v>
      </c>
      <c r="D19" s="3" t="s">
        <v>120</v>
      </c>
      <c r="E19" s="3" t="s">
        <v>76</v>
      </c>
      <c r="F19" s="3" t="s">
        <v>121</v>
      </c>
      <c r="G19" s="3">
        <v>2</v>
      </c>
      <c r="H19" s="2"/>
      <c r="J19" s="2"/>
      <c r="K19" s="2"/>
      <c r="L19" s="2"/>
      <c r="M19" s="2"/>
      <c r="N19" s="2"/>
      <c r="O19" s="2"/>
      <c r="P19" s="2"/>
      <c r="Q19" s="2"/>
      <c r="R19" s="2"/>
      <c r="S19" s="2"/>
      <c r="T19" s="2"/>
      <c r="U19" s="2"/>
      <c r="V19" s="2"/>
      <c r="W19" s="2"/>
      <c r="X19" s="2"/>
      <c r="Y19" s="2"/>
      <c r="Z19" s="2"/>
    </row>
    <row r="20" spans="1:26" x14ac:dyDescent="0.2">
      <c r="A20" s="3" t="s">
        <v>122</v>
      </c>
      <c r="B20" s="3" t="s">
        <v>99</v>
      </c>
      <c r="C20" s="3" t="s">
        <v>123</v>
      </c>
      <c r="D20" s="3" t="s">
        <v>101</v>
      </c>
      <c r="E20" s="3" t="s">
        <v>25</v>
      </c>
      <c r="F20" s="3" t="s">
        <v>121</v>
      </c>
      <c r="G20" s="3">
        <v>3</v>
      </c>
      <c r="H20" s="2"/>
      <c r="J20" s="2"/>
      <c r="K20" s="2"/>
      <c r="L20" s="2"/>
      <c r="M20" s="2"/>
      <c r="N20" s="2"/>
      <c r="O20" s="2"/>
      <c r="P20" s="2"/>
      <c r="Q20" s="2"/>
      <c r="R20" s="2"/>
      <c r="S20" s="2"/>
      <c r="T20" s="2"/>
      <c r="U20" s="2"/>
      <c r="V20" s="2"/>
      <c r="W20" s="2"/>
      <c r="X20" s="2"/>
      <c r="Y20" s="2"/>
      <c r="Z20" s="2"/>
    </row>
    <row r="21" spans="1:26" x14ac:dyDescent="0.2">
      <c r="A21" s="3" t="s">
        <v>124</v>
      </c>
      <c r="B21" s="3" t="s">
        <v>125</v>
      </c>
      <c r="C21" s="3" t="s">
        <v>126</v>
      </c>
      <c r="D21" s="3" t="s">
        <v>127</v>
      </c>
      <c r="E21" s="3" t="s">
        <v>76</v>
      </c>
      <c r="F21" s="3" t="s">
        <v>121</v>
      </c>
      <c r="G21" s="3">
        <v>3</v>
      </c>
      <c r="H21" s="2"/>
      <c r="J21" s="2"/>
      <c r="K21" s="2"/>
      <c r="L21" s="2"/>
      <c r="M21" s="2"/>
      <c r="N21" s="2"/>
      <c r="O21" s="2"/>
      <c r="P21" s="2"/>
      <c r="Q21" s="2"/>
      <c r="R21" s="2"/>
      <c r="S21" s="2"/>
      <c r="T21" s="2"/>
      <c r="U21" s="2"/>
      <c r="V21" s="2"/>
      <c r="W21" s="2"/>
      <c r="X21" s="2"/>
      <c r="Y21" s="2"/>
      <c r="Z21" s="2"/>
    </row>
    <row r="22" spans="1:26" x14ac:dyDescent="0.2">
      <c r="A22" s="3" t="s">
        <v>128</v>
      </c>
      <c r="B22" s="3" t="s">
        <v>99</v>
      </c>
      <c r="C22" s="3" t="s">
        <v>129</v>
      </c>
      <c r="D22" s="3" t="s">
        <v>101</v>
      </c>
      <c r="E22" s="3" t="s">
        <v>25</v>
      </c>
      <c r="F22" s="3" t="s">
        <v>102</v>
      </c>
      <c r="G22" s="3">
        <v>4</v>
      </c>
      <c r="H22" s="2"/>
      <c r="J22" s="2"/>
      <c r="K22" s="2"/>
      <c r="L22" s="2"/>
      <c r="M22" s="2"/>
      <c r="N22" s="2"/>
      <c r="O22" s="2"/>
      <c r="P22" s="2"/>
      <c r="Q22" s="2"/>
      <c r="R22" s="2"/>
      <c r="S22" s="2"/>
      <c r="T22" s="2"/>
      <c r="U22" s="2"/>
      <c r="V22" s="2"/>
      <c r="W22" s="2"/>
      <c r="X22" s="2"/>
      <c r="Y22" s="2"/>
      <c r="Z22" s="2"/>
    </row>
    <row r="23" spans="1:26" x14ac:dyDescent="0.2">
      <c r="A23" s="3" t="s">
        <v>130</v>
      </c>
      <c r="B23" s="3" t="s">
        <v>99</v>
      </c>
      <c r="C23" s="3" t="s">
        <v>131</v>
      </c>
      <c r="D23" s="3" t="s">
        <v>101</v>
      </c>
      <c r="E23" s="3" t="s">
        <v>25</v>
      </c>
      <c r="F23" s="3" t="s">
        <v>102</v>
      </c>
      <c r="G23" s="3">
        <v>4</v>
      </c>
      <c r="H23" s="2"/>
      <c r="J23" s="2"/>
      <c r="K23" s="2"/>
      <c r="L23" s="2"/>
      <c r="M23" s="2"/>
      <c r="N23" s="2"/>
      <c r="O23" s="2"/>
      <c r="P23" s="2"/>
      <c r="Q23" s="2"/>
      <c r="R23" s="2"/>
      <c r="S23" s="2"/>
      <c r="T23" s="2"/>
      <c r="U23" s="2"/>
      <c r="V23" s="2"/>
      <c r="W23" s="2"/>
      <c r="X23" s="2"/>
      <c r="Y23" s="2"/>
      <c r="Z23" s="2"/>
    </row>
    <row r="24" spans="1:26" x14ac:dyDescent="0.2">
      <c r="A24" s="3" t="s">
        <v>132</v>
      </c>
      <c r="B24" s="3" t="s">
        <v>133</v>
      </c>
      <c r="C24" s="3" t="s">
        <v>134</v>
      </c>
      <c r="D24" s="3">
        <v>2020</v>
      </c>
      <c r="E24" s="3" t="s">
        <v>76</v>
      </c>
      <c r="F24" s="4" t="s">
        <v>135</v>
      </c>
      <c r="G24" s="3">
        <v>4</v>
      </c>
      <c r="H24" s="2"/>
      <c r="J24" s="2"/>
      <c r="K24" s="2"/>
      <c r="L24" s="2"/>
      <c r="M24" s="2"/>
      <c r="N24" s="2"/>
      <c r="O24" s="2"/>
      <c r="P24" s="2"/>
      <c r="Q24" s="2"/>
      <c r="R24" s="2"/>
      <c r="S24" s="2"/>
      <c r="T24" s="2"/>
      <c r="U24" s="2"/>
      <c r="V24" s="2"/>
      <c r="W24" s="2"/>
      <c r="X24" s="2"/>
      <c r="Y24" s="2"/>
      <c r="Z24" s="2"/>
    </row>
    <row r="25" spans="1:26" x14ac:dyDescent="0.2">
      <c r="A25" s="1" t="s">
        <v>35</v>
      </c>
      <c r="B25" s="2"/>
      <c r="C25" s="2"/>
      <c r="D25" s="2"/>
      <c r="E25" s="2"/>
      <c r="F25" s="2"/>
      <c r="G25" s="2"/>
      <c r="H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H26" s="2"/>
      <c r="J26" s="2"/>
      <c r="K26" s="2"/>
      <c r="L26" s="2"/>
      <c r="M26" s="2"/>
      <c r="N26" s="2"/>
      <c r="O26" s="2"/>
      <c r="P26" s="2"/>
      <c r="Q26" s="2"/>
      <c r="R26" s="2"/>
      <c r="S26" s="2"/>
      <c r="T26" s="2"/>
      <c r="U26" s="2"/>
      <c r="V26" s="2"/>
      <c r="W26" s="2"/>
      <c r="X26" s="2"/>
      <c r="Y26" s="2"/>
      <c r="Z26" s="2"/>
    </row>
    <row r="27" spans="1:26" x14ac:dyDescent="0.2">
      <c r="A27" s="3" t="s">
        <v>63</v>
      </c>
      <c r="B27" s="2"/>
      <c r="C27" s="3" t="s">
        <v>64</v>
      </c>
      <c r="D27" s="3" t="s">
        <v>9</v>
      </c>
      <c r="E27" s="3" t="s">
        <v>9</v>
      </c>
      <c r="F27" s="2"/>
      <c r="G27" s="2"/>
      <c r="H27" s="2"/>
      <c r="J27" s="2"/>
      <c r="K27" s="2"/>
      <c r="L27" s="2"/>
      <c r="M27" s="2"/>
      <c r="N27" s="2"/>
      <c r="O27" s="2"/>
      <c r="P27" s="2"/>
      <c r="Q27" s="2"/>
      <c r="R27" s="2"/>
      <c r="S27" s="2"/>
      <c r="T27" s="2"/>
      <c r="U27" s="2"/>
      <c r="V27" s="2"/>
      <c r="W27" s="2"/>
      <c r="X27" s="2"/>
      <c r="Y27" s="2"/>
      <c r="Z27" s="2"/>
    </row>
    <row r="28" spans="1:26" x14ac:dyDescent="0.2">
      <c r="A28" s="3" t="s">
        <v>65</v>
      </c>
      <c r="B28" s="2"/>
      <c r="C28" s="3" t="s">
        <v>66</v>
      </c>
      <c r="D28" s="3" t="s">
        <v>9</v>
      </c>
      <c r="E28" s="3" t="s">
        <v>9</v>
      </c>
      <c r="F28" s="2"/>
      <c r="G28" s="2"/>
      <c r="H28" s="2"/>
      <c r="J28" s="2"/>
      <c r="K28" s="2"/>
      <c r="L28" s="2"/>
      <c r="M28" s="2"/>
      <c r="N28" s="2"/>
      <c r="O28" s="2"/>
      <c r="P28" s="2"/>
      <c r="Q28" s="2"/>
      <c r="R28" s="2"/>
      <c r="S28" s="2"/>
      <c r="T28" s="2"/>
      <c r="U28" s="2"/>
      <c r="V28" s="2"/>
      <c r="W28" s="2"/>
      <c r="X28" s="2"/>
      <c r="Y28" s="2"/>
      <c r="Z28" s="2"/>
    </row>
    <row r="29" spans="1:26" x14ac:dyDescent="0.2">
      <c r="A29" s="3" t="s">
        <v>67</v>
      </c>
      <c r="B29" s="3" t="s">
        <v>68</v>
      </c>
      <c r="C29" s="3" t="s">
        <v>69</v>
      </c>
      <c r="D29" s="3">
        <v>2017</v>
      </c>
      <c r="E29" s="3" t="s">
        <v>70</v>
      </c>
      <c r="F29" s="3" t="s">
        <v>71</v>
      </c>
      <c r="G29" s="2"/>
      <c r="H29" s="2"/>
      <c r="J29" s="2"/>
      <c r="K29" s="2"/>
      <c r="L29" s="2"/>
      <c r="M29" s="2"/>
      <c r="N29" s="2"/>
      <c r="O29" s="2"/>
      <c r="P29" s="2"/>
      <c r="Q29" s="2"/>
      <c r="R29" s="2"/>
      <c r="S29" s="2"/>
      <c r="T29" s="2"/>
      <c r="U29" s="2"/>
      <c r="V29" s="2"/>
      <c r="W29" s="2"/>
      <c r="X29" s="2"/>
      <c r="Y29" s="2"/>
      <c r="Z29" s="2"/>
    </row>
    <row r="30" spans="1:26" x14ac:dyDescent="0.2">
      <c r="A30" s="3" t="s">
        <v>72</v>
      </c>
      <c r="B30" s="3" t="s">
        <v>73</v>
      </c>
      <c r="C30" s="3" t="s">
        <v>74</v>
      </c>
      <c r="D30" s="3" t="s">
        <v>75</v>
      </c>
      <c r="E30" s="3" t="s">
        <v>76</v>
      </c>
      <c r="F30" s="3" t="s">
        <v>77</v>
      </c>
      <c r="G30" s="3">
        <v>3</v>
      </c>
      <c r="H30" s="2"/>
      <c r="J30" s="2"/>
      <c r="K30" s="2"/>
      <c r="L30" s="2"/>
      <c r="M30" s="2"/>
      <c r="N30" s="2"/>
      <c r="O30" s="2"/>
      <c r="P30" s="2"/>
      <c r="Q30" s="2"/>
      <c r="R30" s="2"/>
      <c r="S30" s="2"/>
      <c r="T30" s="2"/>
      <c r="U30" s="2"/>
      <c r="V30" s="2"/>
      <c r="W30" s="2"/>
      <c r="X30" s="2"/>
      <c r="Y30" s="2"/>
      <c r="Z30" s="2"/>
    </row>
    <row r="31" spans="1:26" x14ac:dyDescent="0.2">
      <c r="A31" s="3" t="s">
        <v>78</v>
      </c>
      <c r="B31" s="3" t="s">
        <v>79</v>
      </c>
      <c r="C31" s="3" t="s">
        <v>80</v>
      </c>
      <c r="D31" s="3" t="s">
        <v>81</v>
      </c>
      <c r="E31" s="3" t="s">
        <v>76</v>
      </c>
      <c r="F31" s="3" t="s">
        <v>82</v>
      </c>
      <c r="G31" s="3">
        <v>4</v>
      </c>
      <c r="H31" s="2"/>
      <c r="J31" s="2"/>
      <c r="K31" s="2"/>
      <c r="L31" s="2"/>
      <c r="M31" s="2"/>
      <c r="N31" s="2"/>
      <c r="O31" s="2"/>
      <c r="P31" s="2"/>
      <c r="Q31" s="2"/>
      <c r="R31" s="2"/>
      <c r="S31" s="2"/>
      <c r="T31" s="2"/>
      <c r="U31" s="2"/>
      <c r="V31" s="2"/>
      <c r="W31" s="2"/>
      <c r="X31" s="2"/>
      <c r="Y31" s="2"/>
      <c r="Z31" s="2"/>
    </row>
    <row r="32" spans="1:26" x14ac:dyDescent="0.2">
      <c r="A32" s="3" t="s">
        <v>83</v>
      </c>
      <c r="B32" s="3" t="s">
        <v>84</v>
      </c>
      <c r="C32" s="3" t="s">
        <v>85</v>
      </c>
      <c r="D32" s="3" t="s">
        <v>86</v>
      </c>
      <c r="E32" s="3" t="s">
        <v>76</v>
      </c>
      <c r="F32" s="3" t="s">
        <v>87</v>
      </c>
      <c r="G32" s="3">
        <v>4</v>
      </c>
      <c r="H32" s="2"/>
      <c r="J32" s="2"/>
      <c r="K32" s="2"/>
      <c r="L32" s="2"/>
      <c r="M32" s="2"/>
      <c r="N32" s="2"/>
      <c r="O32" s="2"/>
      <c r="P32" s="2"/>
      <c r="Q32" s="2"/>
      <c r="R32" s="2"/>
      <c r="S32" s="2"/>
      <c r="T32" s="2"/>
      <c r="U32" s="2"/>
      <c r="V32" s="2"/>
      <c r="W32" s="2"/>
      <c r="X32" s="2"/>
      <c r="Y32" s="2"/>
      <c r="Z32" s="2"/>
    </row>
    <row r="33" spans="1:26" x14ac:dyDescent="0.2">
      <c r="A33" s="3" t="s">
        <v>88</v>
      </c>
      <c r="B33" s="3" t="s">
        <v>89</v>
      </c>
      <c r="C33" s="3" t="s">
        <v>90</v>
      </c>
      <c r="D33" s="3" t="s">
        <v>81</v>
      </c>
      <c r="E33" s="3" t="s">
        <v>91</v>
      </c>
      <c r="F33" s="3" t="s">
        <v>92</v>
      </c>
      <c r="G33" s="3">
        <v>3</v>
      </c>
      <c r="H33" s="2"/>
      <c r="J33" s="2"/>
      <c r="K33" s="2"/>
      <c r="L33" s="2"/>
      <c r="M33" s="2"/>
      <c r="N33" s="2"/>
      <c r="O33" s="2"/>
      <c r="P33" s="2"/>
      <c r="Q33" s="2"/>
      <c r="R33" s="2"/>
      <c r="S33" s="2"/>
      <c r="T33" s="2"/>
      <c r="U33" s="2"/>
      <c r="V33" s="2"/>
      <c r="W33" s="2"/>
      <c r="X33" s="2"/>
      <c r="Y33" s="2"/>
      <c r="Z33" s="2"/>
    </row>
    <row r="34" spans="1:26" x14ac:dyDescent="0.2">
      <c r="A34" s="3" t="s">
        <v>93</v>
      </c>
      <c r="B34" s="3" t="s">
        <v>94</v>
      </c>
      <c r="C34" s="3" t="s">
        <v>95</v>
      </c>
      <c r="D34" s="3" t="s">
        <v>96</v>
      </c>
      <c r="E34" s="3" t="s">
        <v>91</v>
      </c>
      <c r="F34" s="3" t="s">
        <v>97</v>
      </c>
      <c r="G34" s="3">
        <v>3</v>
      </c>
      <c r="H34" s="2"/>
      <c r="J34" s="2"/>
      <c r="K34" s="2"/>
      <c r="L34" s="2"/>
      <c r="M34" s="2"/>
      <c r="N34" s="2"/>
      <c r="O34" s="2"/>
      <c r="P34" s="2"/>
      <c r="Q34" s="2"/>
      <c r="R34" s="2"/>
      <c r="S34" s="2"/>
      <c r="T34" s="2"/>
      <c r="U34" s="2"/>
      <c r="V34" s="2"/>
      <c r="W34" s="2"/>
      <c r="X34" s="2"/>
      <c r="Y34" s="2"/>
      <c r="Z34" s="2"/>
    </row>
    <row r="35" spans="1:26" x14ac:dyDescent="0.2">
      <c r="A35" s="3" t="s">
        <v>98</v>
      </c>
      <c r="B35" s="3" t="s">
        <v>99</v>
      </c>
      <c r="C35" s="3" t="s">
        <v>100</v>
      </c>
      <c r="D35" s="3" t="s">
        <v>101</v>
      </c>
      <c r="E35" s="3" t="s">
        <v>25</v>
      </c>
      <c r="F35" s="3" t="s">
        <v>102</v>
      </c>
      <c r="G35" s="2"/>
      <c r="H35" s="3" t="s">
        <v>234</v>
      </c>
      <c r="J35" s="2"/>
      <c r="K35" s="2"/>
      <c r="L35" s="2"/>
      <c r="M35" s="2"/>
      <c r="N35" s="2"/>
      <c r="O35" s="2"/>
      <c r="P35" s="2"/>
      <c r="Q35" s="2"/>
      <c r="R35" s="2"/>
      <c r="S35" s="2"/>
      <c r="T35" s="2"/>
      <c r="U35" s="2"/>
      <c r="V35" s="2"/>
      <c r="W35" s="2"/>
      <c r="X35" s="2"/>
      <c r="Y35" s="2"/>
      <c r="Z35" s="2"/>
    </row>
    <row r="36" spans="1:26" x14ac:dyDescent="0.2">
      <c r="A36" s="1" t="s">
        <v>35</v>
      </c>
      <c r="B36" s="2"/>
      <c r="C36" s="2"/>
      <c r="D36" s="2"/>
      <c r="E36" s="2"/>
      <c r="F36" s="2"/>
      <c r="G36" s="2"/>
      <c r="H36" s="2"/>
      <c r="J36" s="2"/>
      <c r="K36" s="2"/>
      <c r="L36" s="2"/>
      <c r="M36" s="2"/>
      <c r="N36" s="2"/>
      <c r="O36" s="2"/>
      <c r="P36" s="2"/>
      <c r="Q36" s="2"/>
      <c r="R36" s="2"/>
      <c r="S36" s="2"/>
      <c r="T36" s="2"/>
      <c r="U36" s="2"/>
      <c r="V36" s="2"/>
      <c r="W36" s="2"/>
      <c r="X36" s="2"/>
      <c r="Y36" s="2"/>
      <c r="Z36" s="2"/>
    </row>
    <row r="37" spans="1:26" x14ac:dyDescent="0.2">
      <c r="A37" s="3" t="s">
        <v>103</v>
      </c>
      <c r="B37" s="2"/>
      <c r="C37" s="3" t="s">
        <v>104</v>
      </c>
      <c r="D37" s="3" t="s">
        <v>9</v>
      </c>
      <c r="E37" s="3" t="s">
        <v>9</v>
      </c>
      <c r="F37" s="2"/>
      <c r="G37" s="2"/>
      <c r="H37" s="2"/>
      <c r="J37" s="2"/>
      <c r="K37" s="2"/>
      <c r="L37" s="2"/>
      <c r="M37" s="2"/>
      <c r="N37" s="2"/>
      <c r="O37" s="2"/>
      <c r="P37" s="2"/>
      <c r="Q37" s="2"/>
      <c r="R37" s="2"/>
      <c r="S37" s="2"/>
      <c r="T37" s="2"/>
      <c r="U37" s="2"/>
      <c r="V37" s="2"/>
      <c r="W37" s="2"/>
      <c r="X37" s="2"/>
      <c r="Y37" s="2"/>
      <c r="Z37" s="2"/>
    </row>
    <row r="38" spans="1:26" x14ac:dyDescent="0.2">
      <c r="A38" s="3" t="s">
        <v>105</v>
      </c>
      <c r="B38" s="3" t="s">
        <v>106</v>
      </c>
      <c r="C38" s="3" t="s">
        <v>107</v>
      </c>
      <c r="D38" s="3" t="s">
        <v>108</v>
      </c>
      <c r="E38" s="3" t="s">
        <v>109</v>
      </c>
      <c r="F38" s="2"/>
      <c r="G38" s="2"/>
      <c r="H38" s="3" t="s">
        <v>234</v>
      </c>
      <c r="J38" s="2"/>
      <c r="K38" s="2"/>
      <c r="L38" s="2"/>
      <c r="M38" s="2"/>
      <c r="N38" s="2"/>
      <c r="O38" s="2"/>
      <c r="P38" s="2"/>
      <c r="Q38" s="2"/>
      <c r="R38" s="2"/>
      <c r="S38" s="2"/>
      <c r="T38" s="2"/>
      <c r="U38" s="2"/>
      <c r="V38" s="2"/>
      <c r="W38" s="2"/>
      <c r="X38" s="2"/>
      <c r="Y38" s="2"/>
      <c r="Z38" s="2"/>
    </row>
    <row r="39" spans="1:26" x14ac:dyDescent="0.2">
      <c r="A39" s="3" t="s">
        <v>110</v>
      </c>
      <c r="B39" s="3" t="s">
        <v>106</v>
      </c>
      <c r="C39" s="3" t="s">
        <v>111</v>
      </c>
      <c r="D39" s="3" t="s">
        <v>108</v>
      </c>
      <c r="E39" s="3" t="s">
        <v>112</v>
      </c>
      <c r="F39" s="2"/>
      <c r="G39" s="2"/>
      <c r="H39" s="3" t="s">
        <v>234</v>
      </c>
      <c r="J39" s="2"/>
      <c r="K39" s="2"/>
      <c r="L39" s="2"/>
      <c r="M39" s="2"/>
      <c r="N39" s="2"/>
      <c r="O39" s="2"/>
      <c r="P39" s="2"/>
      <c r="Q39" s="2"/>
      <c r="R39" s="2"/>
      <c r="S39" s="2"/>
      <c r="T39" s="2"/>
      <c r="U39" s="2"/>
      <c r="V39" s="2"/>
      <c r="W39" s="2"/>
      <c r="X39" s="2"/>
      <c r="Y39" s="2"/>
      <c r="Z39" s="2"/>
    </row>
    <row r="40" spans="1:26" x14ac:dyDescent="0.2">
      <c r="A40" s="3" t="s">
        <v>113</v>
      </c>
      <c r="B40" s="3" t="s">
        <v>106</v>
      </c>
      <c r="C40" s="3" t="s">
        <v>114</v>
      </c>
      <c r="D40" s="3" t="s">
        <v>108</v>
      </c>
      <c r="E40" s="3" t="s">
        <v>115</v>
      </c>
      <c r="F40" s="2"/>
      <c r="G40" s="2"/>
      <c r="H40" s="3" t="s">
        <v>234</v>
      </c>
      <c r="J40" s="2"/>
      <c r="K40" s="2"/>
      <c r="L40" s="2"/>
      <c r="M40" s="2"/>
      <c r="N40" s="2"/>
      <c r="O40" s="2"/>
      <c r="P40" s="2"/>
      <c r="Q40" s="2"/>
      <c r="R40" s="2"/>
      <c r="S40" s="2"/>
      <c r="T40" s="2"/>
      <c r="U40" s="2"/>
      <c r="V40" s="2"/>
      <c r="W40" s="2"/>
      <c r="X40" s="2"/>
      <c r="Y40" s="2"/>
      <c r="Z40" s="2"/>
    </row>
    <row r="41" spans="1:26" x14ac:dyDescent="0.2">
      <c r="A41" s="1" t="s">
        <v>35</v>
      </c>
      <c r="B41" s="2"/>
      <c r="C41" s="2"/>
      <c r="D41" s="2"/>
      <c r="E41" s="2"/>
      <c r="F41" s="2"/>
      <c r="G41" s="2"/>
      <c r="H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ef="F24" r:id="rId1" xr:uid="{6419D84E-2AF4-754A-80A8-51EF817F434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0F19-DE01-B441-ADAE-94817F4C4D05}">
  <dimension ref="A1:Z1014"/>
  <sheetViews>
    <sheetView tabSelected="1" topLeftCell="A27" zoomScale="116" zoomScaleNormal="180" workbookViewId="0">
      <selection activeCell="C34" sqref="C34"/>
    </sheetView>
  </sheetViews>
  <sheetFormatPr baseColWidth="10" defaultRowHeight="16" x14ac:dyDescent="0.2"/>
  <cols>
    <col min="1" max="1" width="65.83203125" bestFit="1" customWidth="1"/>
    <col min="2" max="2" width="47.5" customWidth="1"/>
    <col min="3" max="3" width="76" customWidth="1"/>
    <col min="4" max="4" width="10.83203125" customWidth="1"/>
    <col min="5" max="5" width="35.6640625" customWidth="1"/>
    <col min="6" max="7" width="10.83203125" customWidth="1"/>
    <col min="8" max="8" width="13.83203125" customWidth="1"/>
    <col min="9" max="9" width="13.1640625" customWidth="1"/>
  </cols>
  <sheetData>
    <row r="1" spans="1:26" x14ac:dyDescent="0.2">
      <c r="A1" s="1" t="s">
        <v>322</v>
      </c>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1" t="s">
        <v>0</v>
      </c>
      <c r="B4" s="1" t="s">
        <v>1</v>
      </c>
      <c r="C4" s="1" t="s">
        <v>2</v>
      </c>
      <c r="D4" s="1" t="s">
        <v>3</v>
      </c>
      <c r="E4" s="1" t="s">
        <v>4</v>
      </c>
      <c r="F4" s="1" t="s">
        <v>5</v>
      </c>
      <c r="G4" s="1" t="s">
        <v>323</v>
      </c>
      <c r="H4" s="2"/>
      <c r="I4" s="2"/>
      <c r="J4" s="2"/>
      <c r="K4" s="2"/>
      <c r="L4" s="2"/>
      <c r="M4" s="2"/>
      <c r="N4" s="2"/>
      <c r="O4" s="2"/>
      <c r="P4" s="2"/>
      <c r="Q4" s="2"/>
      <c r="R4" s="2"/>
      <c r="S4" s="2"/>
      <c r="T4" s="2"/>
      <c r="U4" s="2"/>
      <c r="V4" s="2"/>
      <c r="W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1" t="s">
        <v>7</v>
      </c>
      <c r="B6" s="2"/>
      <c r="C6" s="1" t="s">
        <v>8</v>
      </c>
      <c r="D6" s="3" t="s">
        <v>9</v>
      </c>
      <c r="E6" s="3" t="s">
        <v>9</v>
      </c>
      <c r="F6" s="2"/>
      <c r="G6" s="3" t="s">
        <v>18</v>
      </c>
      <c r="H6" s="2"/>
      <c r="I6" s="2"/>
      <c r="J6" s="2"/>
      <c r="K6" s="2"/>
      <c r="L6" s="2"/>
      <c r="M6" s="2"/>
      <c r="N6" s="2"/>
      <c r="O6" s="2"/>
      <c r="P6" s="2"/>
      <c r="Q6" s="2"/>
      <c r="R6" s="2"/>
      <c r="S6" s="2"/>
      <c r="T6" s="2"/>
      <c r="U6" s="2"/>
      <c r="V6" s="2"/>
      <c r="W6" s="2"/>
      <c r="X6" s="2"/>
      <c r="Y6" s="2"/>
      <c r="Z6" s="2"/>
    </row>
    <row r="7" spans="1:26" x14ac:dyDescent="0.2">
      <c r="A7" s="1" t="s">
        <v>10</v>
      </c>
      <c r="B7" s="2"/>
      <c r="C7" s="3" t="s">
        <v>11</v>
      </c>
      <c r="D7" s="3" t="s">
        <v>9</v>
      </c>
      <c r="E7" s="3" t="s">
        <v>9</v>
      </c>
      <c r="F7" s="2"/>
      <c r="G7" s="3" t="s">
        <v>18</v>
      </c>
      <c r="H7" s="3" t="s">
        <v>355</v>
      </c>
      <c r="I7" s="3" t="s">
        <v>356</v>
      </c>
      <c r="J7" s="3" t="s">
        <v>178</v>
      </c>
      <c r="K7" s="3" t="s">
        <v>183</v>
      </c>
      <c r="L7" s="3" t="s">
        <v>181</v>
      </c>
      <c r="M7" s="3" t="s">
        <v>182</v>
      </c>
      <c r="N7" s="3" t="s">
        <v>180</v>
      </c>
      <c r="O7" s="2"/>
      <c r="P7" s="2"/>
      <c r="Q7" s="2"/>
      <c r="R7" s="2"/>
      <c r="S7" s="2"/>
      <c r="T7" s="2"/>
      <c r="U7" s="2"/>
      <c r="V7" s="2"/>
      <c r="W7" s="2"/>
      <c r="X7" s="2"/>
      <c r="Y7" s="2"/>
      <c r="Z7" s="2"/>
    </row>
    <row r="8" spans="1:26" x14ac:dyDescent="0.2">
      <c r="A8" s="31" t="s">
        <v>12</v>
      </c>
      <c r="B8" s="3" t="s">
        <v>13</v>
      </c>
      <c r="C8" s="3" t="s">
        <v>263</v>
      </c>
      <c r="D8" s="3" t="s">
        <v>15</v>
      </c>
      <c r="E8" s="3" t="s">
        <v>16</v>
      </c>
      <c r="F8" s="24" t="s">
        <v>17</v>
      </c>
      <c r="G8" s="3" t="s">
        <v>324</v>
      </c>
      <c r="H8">
        <f>AVERAGE(J8:N8)</f>
        <v>3.6</v>
      </c>
      <c r="I8">
        <f>MEDIAN(J8:N8)</f>
        <v>3</v>
      </c>
      <c r="J8" s="17">
        <f>'XH2'!H8</f>
        <v>4</v>
      </c>
      <c r="K8">
        <f>'VS2'!G8</f>
        <v>5</v>
      </c>
      <c r="L8" s="2">
        <f>'SG2'!H8</f>
        <v>3</v>
      </c>
      <c r="M8" s="2">
        <f>'CM2'!G8</f>
        <v>3</v>
      </c>
      <c r="N8" s="2">
        <f>'DG2'!G8</f>
        <v>3</v>
      </c>
      <c r="O8" s="2"/>
      <c r="P8" s="2"/>
      <c r="Q8" s="2"/>
      <c r="R8" s="2"/>
      <c r="S8" s="2"/>
      <c r="T8" s="2"/>
      <c r="U8" s="2"/>
      <c r="V8" s="2"/>
      <c r="W8" s="2"/>
      <c r="X8" s="2"/>
      <c r="Y8" s="2"/>
      <c r="Z8" s="2"/>
    </row>
    <row r="9" spans="1:26" x14ac:dyDescent="0.2">
      <c r="A9" s="3" t="s">
        <v>19</v>
      </c>
      <c r="B9" s="3" t="s">
        <v>13</v>
      </c>
      <c r="C9" s="3" t="s">
        <v>264</v>
      </c>
      <c r="D9" s="3" t="s">
        <v>15</v>
      </c>
      <c r="E9" s="3" t="s">
        <v>16</v>
      </c>
      <c r="F9" s="24" t="s">
        <v>17</v>
      </c>
      <c r="G9" s="3" t="s">
        <v>324</v>
      </c>
      <c r="H9">
        <f t="shared" ref="H9:H64" si="0">AVERAGE(J9:N9)</f>
        <v>2.6</v>
      </c>
      <c r="I9">
        <f t="shared" ref="I9:I64" si="1">MEDIAN(J9:N9)</f>
        <v>3</v>
      </c>
      <c r="J9" s="17">
        <f>'XH2'!H9</f>
        <v>3</v>
      </c>
      <c r="K9">
        <f>'VS2'!G9</f>
        <v>3</v>
      </c>
      <c r="L9" s="2">
        <f>'SG2'!H9</f>
        <v>2</v>
      </c>
      <c r="M9" s="2">
        <f>'CM2'!G9</f>
        <v>3</v>
      </c>
      <c r="N9" s="2">
        <f>'DG2'!G9</f>
        <v>2</v>
      </c>
      <c r="O9" s="2"/>
      <c r="P9" s="2"/>
      <c r="Q9" s="2"/>
      <c r="R9" s="2"/>
      <c r="S9" s="2"/>
      <c r="T9" s="2"/>
      <c r="U9" s="2"/>
      <c r="V9" s="2"/>
      <c r="W9" s="2"/>
      <c r="X9" s="2"/>
      <c r="Y9" s="2"/>
      <c r="Z9" s="2"/>
    </row>
    <row r="10" spans="1:26" x14ac:dyDescent="0.2">
      <c r="A10" s="32" t="s">
        <v>21</v>
      </c>
      <c r="B10" s="3" t="s">
        <v>22</v>
      </c>
      <c r="C10" s="3" t="s">
        <v>262</v>
      </c>
      <c r="D10" s="3" t="s">
        <v>24</v>
      </c>
      <c r="E10" s="3" t="s">
        <v>25</v>
      </c>
      <c r="F10" s="4" t="s">
        <v>26</v>
      </c>
      <c r="G10" s="3" t="s">
        <v>324</v>
      </c>
      <c r="H10">
        <f t="shared" si="0"/>
        <v>4.2</v>
      </c>
      <c r="I10">
        <f t="shared" si="1"/>
        <v>4</v>
      </c>
      <c r="J10" s="17">
        <f>'XH2'!H10</f>
        <v>5</v>
      </c>
      <c r="K10">
        <f>'VS2'!G10</f>
        <v>4</v>
      </c>
      <c r="L10" s="2">
        <f>'SG2'!H10</f>
        <v>4</v>
      </c>
      <c r="M10" s="2">
        <f>'CM2'!G10</f>
        <v>4</v>
      </c>
      <c r="N10" s="2">
        <f>'DG2'!G10</f>
        <v>4</v>
      </c>
      <c r="O10" s="2"/>
      <c r="P10" s="2"/>
      <c r="Q10" s="2"/>
      <c r="R10" s="2"/>
      <c r="S10" s="2"/>
      <c r="T10" s="2"/>
      <c r="U10" s="2"/>
      <c r="V10" s="2"/>
      <c r="W10" s="2"/>
      <c r="X10" s="2"/>
      <c r="Y10" s="2"/>
      <c r="Z10" s="2"/>
    </row>
    <row r="11" spans="1:26" x14ac:dyDescent="0.2">
      <c r="A11" s="11" t="s">
        <v>33</v>
      </c>
      <c r="B11" s="3" t="s">
        <v>28</v>
      </c>
      <c r="C11" s="3" t="s">
        <v>34</v>
      </c>
      <c r="D11" s="3" t="s">
        <v>30</v>
      </c>
      <c r="E11" s="3" t="s">
        <v>31</v>
      </c>
      <c r="F11" s="3" t="s">
        <v>325</v>
      </c>
      <c r="G11" s="3" t="s">
        <v>324</v>
      </c>
      <c r="H11">
        <f t="shared" si="0"/>
        <v>4.5999999999999996</v>
      </c>
      <c r="I11">
        <f t="shared" si="1"/>
        <v>5</v>
      </c>
      <c r="J11" s="17">
        <f>'XH2'!H11</f>
        <v>5</v>
      </c>
      <c r="K11">
        <f>'VS2'!G11</f>
        <v>5</v>
      </c>
      <c r="L11" s="2">
        <f>'SG2'!H11</f>
        <v>3</v>
      </c>
      <c r="M11" s="2">
        <f>'CM2'!G11</f>
        <v>5</v>
      </c>
      <c r="N11" s="2">
        <f>'DG2'!G11</f>
        <v>5</v>
      </c>
      <c r="O11" s="2"/>
      <c r="P11" s="2"/>
      <c r="Q11" s="2"/>
      <c r="R11" s="2"/>
      <c r="S11" s="2"/>
      <c r="T11" s="2"/>
      <c r="U11" s="2"/>
      <c r="V11" s="2"/>
      <c r="W11" s="2"/>
      <c r="X11" s="2"/>
      <c r="Y11" s="2"/>
      <c r="Z11" s="2"/>
    </row>
    <row r="12" spans="1:26" x14ac:dyDescent="0.2">
      <c r="A12" s="3" t="s">
        <v>326</v>
      </c>
      <c r="B12" s="3" t="s">
        <v>13</v>
      </c>
      <c r="C12" s="3" t="s">
        <v>281</v>
      </c>
      <c r="D12" s="3" t="s">
        <v>15</v>
      </c>
      <c r="E12" s="3" t="s">
        <v>16</v>
      </c>
      <c r="F12" s="24" t="s">
        <v>17</v>
      </c>
      <c r="G12" s="3" t="s">
        <v>324</v>
      </c>
      <c r="H12">
        <f t="shared" si="0"/>
        <v>3.2</v>
      </c>
      <c r="I12">
        <f t="shared" si="1"/>
        <v>3</v>
      </c>
      <c r="J12" s="17">
        <f>'XH2'!H12</f>
        <v>4</v>
      </c>
      <c r="K12">
        <f>'VS2'!G12</f>
        <v>4</v>
      </c>
      <c r="L12" s="2">
        <f>'SG2'!H12</f>
        <v>2</v>
      </c>
      <c r="M12" s="2">
        <f>'CM2'!G12</f>
        <v>3</v>
      </c>
      <c r="N12" s="2">
        <f>'DG2'!G12</f>
        <v>3</v>
      </c>
      <c r="O12" s="2"/>
      <c r="P12" s="2"/>
      <c r="Q12" s="2"/>
      <c r="R12" s="2"/>
      <c r="S12" s="2"/>
      <c r="T12" s="2"/>
      <c r="U12" s="2"/>
      <c r="V12" s="2"/>
      <c r="W12" s="2"/>
      <c r="X12" s="2"/>
      <c r="Y12" s="2"/>
      <c r="Z12" s="2"/>
    </row>
    <row r="13" spans="1:26" x14ac:dyDescent="0.2">
      <c r="A13" s="32" t="s">
        <v>327</v>
      </c>
      <c r="B13" s="3" t="s">
        <v>314</v>
      </c>
      <c r="C13" s="3" t="s">
        <v>261</v>
      </c>
      <c r="D13" s="3" t="s">
        <v>314</v>
      </c>
      <c r="E13" s="3" t="s">
        <v>314</v>
      </c>
      <c r="F13" s="3" t="s">
        <v>314</v>
      </c>
      <c r="G13" s="3" t="s">
        <v>324</v>
      </c>
      <c r="H13">
        <f t="shared" si="0"/>
        <v>4.5999999999999996</v>
      </c>
      <c r="I13">
        <f t="shared" si="1"/>
        <v>5</v>
      </c>
      <c r="J13" s="17">
        <f>'XH2'!H13</f>
        <v>5</v>
      </c>
      <c r="K13">
        <f>'VS2'!G13</f>
        <v>4</v>
      </c>
      <c r="L13" s="2">
        <f>'SG2'!H13</f>
        <v>4</v>
      </c>
      <c r="M13" s="2">
        <f>'CM2'!G13</f>
        <v>5</v>
      </c>
      <c r="N13" s="2">
        <f>'DG2'!G13</f>
        <v>5</v>
      </c>
      <c r="O13" s="2"/>
      <c r="P13" s="2"/>
      <c r="Q13" s="2"/>
      <c r="R13" s="2"/>
      <c r="S13" s="2"/>
      <c r="T13" s="2"/>
      <c r="U13" s="2"/>
      <c r="V13" s="2"/>
      <c r="W13" s="2"/>
      <c r="X13" s="2"/>
      <c r="Y13" s="2"/>
      <c r="Z13" s="2"/>
    </row>
    <row r="14" spans="1:26" x14ac:dyDescent="0.2">
      <c r="A14" s="2"/>
      <c r="B14" s="2"/>
      <c r="C14" s="2"/>
      <c r="D14" s="2"/>
      <c r="E14" s="2"/>
      <c r="F14" s="2"/>
      <c r="G14" s="2"/>
      <c r="J14" s="17"/>
      <c r="L14" s="2"/>
      <c r="M14" s="2"/>
      <c r="N14" s="2"/>
      <c r="O14" s="2"/>
      <c r="P14" s="2"/>
      <c r="Q14" s="2"/>
      <c r="R14" s="2"/>
      <c r="S14" s="2"/>
      <c r="T14" s="2"/>
      <c r="U14" s="2"/>
      <c r="V14" s="2"/>
      <c r="W14" s="2"/>
      <c r="X14" s="2"/>
      <c r="Y14" s="2"/>
      <c r="Z14" s="2"/>
    </row>
    <row r="15" spans="1:26" x14ac:dyDescent="0.2">
      <c r="A15" s="1" t="s">
        <v>36</v>
      </c>
      <c r="B15" s="2"/>
      <c r="C15" s="3" t="s">
        <v>37</v>
      </c>
      <c r="D15" s="3" t="s">
        <v>9</v>
      </c>
      <c r="E15" s="3" t="s">
        <v>9</v>
      </c>
      <c r="F15" s="2"/>
      <c r="G15" s="3" t="s">
        <v>18</v>
      </c>
      <c r="J15" s="17"/>
      <c r="L15" s="2"/>
      <c r="M15" s="2"/>
      <c r="N15" s="2"/>
      <c r="O15" s="2"/>
      <c r="P15" s="2"/>
      <c r="Q15" s="2"/>
      <c r="R15" s="2"/>
      <c r="S15" s="2"/>
      <c r="T15" s="2"/>
      <c r="U15" s="2"/>
      <c r="V15" s="2"/>
      <c r="W15" s="2"/>
      <c r="X15" s="2"/>
      <c r="Y15" s="2"/>
      <c r="Z15" s="2"/>
    </row>
    <row r="16" spans="1:26" x14ac:dyDescent="0.2">
      <c r="A16" s="32" t="s">
        <v>265</v>
      </c>
      <c r="B16" s="3" t="s">
        <v>39</v>
      </c>
      <c r="C16" s="3" t="s">
        <v>40</v>
      </c>
      <c r="D16" s="3" t="s">
        <v>41</v>
      </c>
      <c r="E16" s="3" t="s">
        <v>42</v>
      </c>
      <c r="F16" s="3" t="s">
        <v>328</v>
      </c>
      <c r="G16" s="3" t="s">
        <v>324</v>
      </c>
      <c r="H16">
        <f t="shared" si="0"/>
        <v>4</v>
      </c>
      <c r="I16">
        <f t="shared" si="1"/>
        <v>4</v>
      </c>
      <c r="J16" s="17">
        <f>'XH2'!H16</f>
        <v>5</v>
      </c>
      <c r="K16">
        <f>'VS2'!G16</f>
        <v>4</v>
      </c>
      <c r="L16" s="2">
        <f>'SG2'!H16</f>
        <v>4</v>
      </c>
      <c r="M16" s="2">
        <f>'CM2'!G16</f>
        <v>3</v>
      </c>
      <c r="N16" s="2">
        <f>'DG2'!G16</f>
        <v>4</v>
      </c>
      <c r="O16" s="2"/>
      <c r="P16" s="2"/>
      <c r="Q16" s="2"/>
      <c r="R16" s="2"/>
      <c r="S16" s="2"/>
      <c r="T16" s="2"/>
      <c r="U16" s="2"/>
      <c r="V16" s="2"/>
      <c r="W16" s="2"/>
      <c r="X16" s="2"/>
      <c r="Y16" s="2"/>
      <c r="Z16" s="2"/>
    </row>
    <row r="17" spans="1:26" x14ac:dyDescent="0.2">
      <c r="A17" s="11" t="s">
        <v>44</v>
      </c>
      <c r="B17" s="3" t="s">
        <v>45</v>
      </c>
      <c r="C17" s="3" t="s">
        <v>46</v>
      </c>
      <c r="D17" s="3" t="s">
        <v>47</v>
      </c>
      <c r="E17" s="3" t="s">
        <v>48</v>
      </c>
      <c r="F17" s="3" t="s">
        <v>329</v>
      </c>
      <c r="G17" s="3" t="s">
        <v>324</v>
      </c>
      <c r="H17">
        <f t="shared" si="0"/>
        <v>4.4000000000000004</v>
      </c>
      <c r="I17">
        <f t="shared" si="1"/>
        <v>5</v>
      </c>
      <c r="J17" s="17">
        <f>'XH2'!H17</f>
        <v>4</v>
      </c>
      <c r="K17">
        <f>'VS2'!G17</f>
        <v>5</v>
      </c>
      <c r="L17" s="2">
        <f>'SG2'!H17</f>
        <v>3</v>
      </c>
      <c r="M17" s="2">
        <f>'CM2'!G17</f>
        <v>5</v>
      </c>
      <c r="N17" s="2">
        <f>'DG2'!G17</f>
        <v>5</v>
      </c>
      <c r="O17" s="2"/>
      <c r="P17" s="2"/>
      <c r="Q17" s="2"/>
      <c r="R17" s="2"/>
      <c r="S17" s="2"/>
      <c r="T17" s="2"/>
      <c r="U17" s="2"/>
      <c r="V17" s="2"/>
      <c r="W17" s="2"/>
      <c r="X17" s="2"/>
      <c r="Y17" s="2"/>
      <c r="Z17" s="2"/>
    </row>
    <row r="18" spans="1:26" x14ac:dyDescent="0.2">
      <c r="A18" s="32" t="s">
        <v>50</v>
      </c>
      <c r="B18" s="3" t="s">
        <v>51</v>
      </c>
      <c r="C18" s="3" t="s">
        <v>52</v>
      </c>
      <c r="D18" s="3" t="s">
        <v>53</v>
      </c>
      <c r="E18" s="3" t="s">
        <v>48</v>
      </c>
      <c r="F18" s="3" t="s">
        <v>54</v>
      </c>
      <c r="G18" s="3" t="s">
        <v>324</v>
      </c>
      <c r="H18">
        <f t="shared" si="0"/>
        <v>4.5999999999999996</v>
      </c>
      <c r="I18">
        <f t="shared" si="1"/>
        <v>5</v>
      </c>
      <c r="J18" s="17">
        <f>'XH2'!H18</f>
        <v>5</v>
      </c>
      <c r="K18">
        <f>'VS2'!G18</f>
        <v>5</v>
      </c>
      <c r="L18" s="2">
        <f>'SG2'!H18</f>
        <v>4</v>
      </c>
      <c r="M18" s="2">
        <f>'CM2'!G18</f>
        <v>5</v>
      </c>
      <c r="N18" s="2">
        <f>'DG2'!G18</f>
        <v>4</v>
      </c>
      <c r="O18" s="2"/>
      <c r="P18" s="2"/>
      <c r="Q18" s="2"/>
      <c r="R18" s="2"/>
      <c r="S18" s="2"/>
      <c r="T18" s="2"/>
      <c r="U18" s="2"/>
      <c r="V18" s="2"/>
      <c r="W18" s="2"/>
      <c r="X18" s="2"/>
      <c r="Y18" s="2"/>
      <c r="Z18" s="2"/>
    </row>
    <row r="19" spans="1:26" x14ac:dyDescent="0.2">
      <c r="A19" s="3" t="s">
        <v>266</v>
      </c>
      <c r="B19" s="3" t="s">
        <v>56</v>
      </c>
      <c r="C19" s="3" t="s">
        <v>57</v>
      </c>
      <c r="D19" s="3" t="s">
        <v>58</v>
      </c>
      <c r="E19" s="3" t="s">
        <v>59</v>
      </c>
      <c r="F19" s="3" t="s">
        <v>60</v>
      </c>
      <c r="G19" s="3" t="s">
        <v>324</v>
      </c>
      <c r="H19">
        <f t="shared" si="0"/>
        <v>3</v>
      </c>
      <c r="I19">
        <f t="shared" si="1"/>
        <v>3</v>
      </c>
      <c r="J19" s="17">
        <f>'XH2'!H19</f>
        <v>4</v>
      </c>
      <c r="K19">
        <f>'VS2'!G19</f>
        <v>3</v>
      </c>
      <c r="L19" s="2">
        <f>'SG2'!H19</f>
        <v>1</v>
      </c>
      <c r="M19" s="2">
        <f>'CM2'!G19</f>
        <v>3</v>
      </c>
      <c r="N19" s="2">
        <f>'DG2'!G19</f>
        <v>4</v>
      </c>
      <c r="O19" s="2"/>
      <c r="P19" s="2"/>
      <c r="Q19" s="2"/>
      <c r="R19" s="2"/>
      <c r="S19" s="2"/>
      <c r="T19" s="2"/>
      <c r="U19" s="2"/>
      <c r="V19" s="2"/>
      <c r="W19" s="2"/>
      <c r="X19" s="2"/>
      <c r="Y19" s="2"/>
      <c r="Z19" s="2"/>
    </row>
    <row r="20" spans="1:26" x14ac:dyDescent="0.2">
      <c r="A20" s="3" t="s">
        <v>61</v>
      </c>
      <c r="B20" s="3" t="s">
        <v>51</v>
      </c>
      <c r="C20" s="3" t="s">
        <v>62</v>
      </c>
      <c r="D20" s="3" t="s">
        <v>53</v>
      </c>
      <c r="E20" s="3" t="s">
        <v>48</v>
      </c>
      <c r="F20" s="3" t="s">
        <v>54</v>
      </c>
      <c r="G20" s="3" t="s">
        <v>324</v>
      </c>
      <c r="H20">
        <f t="shared" si="0"/>
        <v>2.6</v>
      </c>
      <c r="I20">
        <f t="shared" si="1"/>
        <v>3</v>
      </c>
      <c r="J20" s="17">
        <f>'XH2'!H20</f>
        <v>3</v>
      </c>
      <c r="K20">
        <f>'VS2'!G20</f>
        <v>2</v>
      </c>
      <c r="L20" s="2">
        <f>'SG2'!H20</f>
        <v>1</v>
      </c>
      <c r="M20" s="2">
        <f>'CM2'!G20</f>
        <v>3</v>
      </c>
      <c r="N20" s="2">
        <f>'DG2'!G20</f>
        <v>4</v>
      </c>
      <c r="O20" s="2"/>
      <c r="P20" s="2"/>
      <c r="Q20" s="2"/>
      <c r="R20" s="2"/>
      <c r="S20" s="2"/>
      <c r="T20" s="2"/>
      <c r="U20" s="2"/>
      <c r="V20" s="2"/>
      <c r="W20" s="2"/>
      <c r="X20" s="2"/>
      <c r="Y20" s="2"/>
      <c r="Z20" s="2"/>
    </row>
    <row r="21" spans="1:26" x14ac:dyDescent="0.2">
      <c r="A21" s="11" t="s">
        <v>254</v>
      </c>
      <c r="B21" s="3" t="s">
        <v>99</v>
      </c>
      <c r="C21" s="3" t="s">
        <v>129</v>
      </c>
      <c r="D21" s="3" t="s">
        <v>101</v>
      </c>
      <c r="E21" s="3" t="s">
        <v>25</v>
      </c>
      <c r="F21" s="3" t="s">
        <v>330</v>
      </c>
      <c r="G21" s="3" t="s">
        <v>324</v>
      </c>
      <c r="H21">
        <f t="shared" si="0"/>
        <v>4.4000000000000004</v>
      </c>
      <c r="I21">
        <f t="shared" si="1"/>
        <v>4</v>
      </c>
      <c r="J21" s="17">
        <f>'XH2'!H21</f>
        <v>4</v>
      </c>
      <c r="K21">
        <f>'VS2'!G21</f>
        <v>4</v>
      </c>
      <c r="L21" s="2">
        <f>'SG2'!H21</f>
        <v>5</v>
      </c>
      <c r="M21" s="2">
        <f>'CM2'!G21</f>
        <v>5</v>
      </c>
      <c r="N21" s="2">
        <f>'DG2'!G21</f>
        <v>4</v>
      </c>
      <c r="O21" s="2"/>
      <c r="P21" s="2"/>
      <c r="Q21" s="2"/>
      <c r="R21" s="2"/>
      <c r="S21" s="2"/>
      <c r="T21" s="2"/>
      <c r="U21" s="2"/>
      <c r="V21" s="2"/>
      <c r="W21" s="2"/>
      <c r="X21" s="2"/>
      <c r="Y21" s="2"/>
      <c r="Z21" s="2"/>
    </row>
    <row r="22" spans="1:26" x14ac:dyDescent="0.2">
      <c r="A22" s="3" t="s">
        <v>130</v>
      </c>
      <c r="B22" s="3" t="s">
        <v>99</v>
      </c>
      <c r="C22" s="3" t="s">
        <v>131</v>
      </c>
      <c r="D22" s="3" t="s">
        <v>101</v>
      </c>
      <c r="E22" s="3" t="s">
        <v>25</v>
      </c>
      <c r="F22" s="3" t="s">
        <v>330</v>
      </c>
      <c r="G22" s="3" t="s">
        <v>324</v>
      </c>
      <c r="H22">
        <f t="shared" si="0"/>
        <v>3.2</v>
      </c>
      <c r="I22">
        <f t="shared" si="1"/>
        <v>3</v>
      </c>
      <c r="J22" s="17">
        <f>'XH2'!H22</f>
        <v>2</v>
      </c>
      <c r="K22">
        <f>'VS2'!G22</f>
        <v>4</v>
      </c>
      <c r="L22" s="2">
        <f>'SG2'!H22</f>
        <v>4</v>
      </c>
      <c r="M22" s="2">
        <f>'CM2'!G22</f>
        <v>3</v>
      </c>
      <c r="N22" s="2">
        <f>'DG2'!G22</f>
        <v>3</v>
      </c>
      <c r="O22" s="2"/>
      <c r="P22" s="2"/>
      <c r="Q22" s="2"/>
      <c r="R22" s="2"/>
      <c r="S22" s="2"/>
      <c r="T22" s="2"/>
      <c r="U22" s="2"/>
      <c r="V22" s="2"/>
      <c r="W22" s="2"/>
      <c r="X22" s="2"/>
      <c r="Y22" s="2"/>
      <c r="Z22" s="2"/>
    </row>
    <row r="23" spans="1:26" x14ac:dyDescent="0.2">
      <c r="A23" s="11" t="s">
        <v>267</v>
      </c>
      <c r="B23" s="3" t="s">
        <v>28</v>
      </c>
      <c r="C23" s="3" t="s">
        <v>29</v>
      </c>
      <c r="D23" s="3" t="s">
        <v>30</v>
      </c>
      <c r="E23" s="3" t="s">
        <v>31</v>
      </c>
      <c r="F23" s="3" t="s">
        <v>325</v>
      </c>
      <c r="G23" s="3" t="s">
        <v>324</v>
      </c>
      <c r="H23">
        <f t="shared" si="0"/>
        <v>4</v>
      </c>
      <c r="I23">
        <f t="shared" si="1"/>
        <v>4</v>
      </c>
      <c r="J23" s="17">
        <f>'XH2'!H23</f>
        <v>5</v>
      </c>
      <c r="K23">
        <f>'VS2'!G23</f>
        <v>4</v>
      </c>
      <c r="L23" s="2">
        <f>'SG2'!H23</f>
        <v>4</v>
      </c>
      <c r="M23" s="2">
        <f>'CM2'!G23</f>
        <v>4</v>
      </c>
      <c r="N23" s="2">
        <f>'DG2'!G23</f>
        <v>3</v>
      </c>
      <c r="O23" s="2"/>
      <c r="P23" s="2"/>
      <c r="Q23" s="2"/>
      <c r="R23" s="2"/>
      <c r="S23" s="2"/>
      <c r="T23" s="2"/>
      <c r="U23" s="2"/>
      <c r="V23" s="2"/>
      <c r="W23" s="2"/>
      <c r="X23" s="2"/>
      <c r="Y23" s="2"/>
      <c r="Z23" s="2"/>
    </row>
    <row r="24" spans="1:26" x14ac:dyDescent="0.2">
      <c r="A24" s="3" t="s">
        <v>332</v>
      </c>
      <c r="B24" s="3" t="s">
        <v>51</v>
      </c>
      <c r="C24" s="3" t="s">
        <v>272</v>
      </c>
      <c r="D24" s="3" t="s">
        <v>53</v>
      </c>
      <c r="E24" s="3" t="s">
        <v>48</v>
      </c>
      <c r="F24" s="3" t="s">
        <v>54</v>
      </c>
      <c r="G24" s="3" t="s">
        <v>324</v>
      </c>
      <c r="H24">
        <f t="shared" si="0"/>
        <v>2.4</v>
      </c>
      <c r="I24">
        <f t="shared" si="1"/>
        <v>2</v>
      </c>
      <c r="J24" s="17">
        <f>'XH2'!H24</f>
        <v>3</v>
      </c>
      <c r="K24">
        <f>'VS2'!G24</f>
        <v>2</v>
      </c>
      <c r="L24" s="2">
        <f>'SG2'!H24</f>
        <v>2</v>
      </c>
      <c r="M24" s="2">
        <f>'CM2'!G24</f>
        <v>3</v>
      </c>
      <c r="N24" s="2">
        <f>'DG2'!G24</f>
        <v>2</v>
      </c>
      <c r="O24" s="2"/>
      <c r="P24" s="2"/>
      <c r="Q24" s="2"/>
      <c r="R24" s="2"/>
      <c r="S24" s="2"/>
      <c r="T24" s="2"/>
      <c r="U24" s="2"/>
      <c r="V24" s="2"/>
      <c r="W24" s="2"/>
      <c r="X24" s="2"/>
      <c r="Y24" s="2"/>
      <c r="Z24" s="2"/>
    </row>
    <row r="25" spans="1:26" x14ac:dyDescent="0.2">
      <c r="A25" s="3" t="s">
        <v>334</v>
      </c>
      <c r="B25" s="3" t="s">
        <v>335</v>
      </c>
      <c r="C25" s="3" t="s">
        <v>289</v>
      </c>
      <c r="D25" s="3" t="s">
        <v>270</v>
      </c>
      <c r="E25" s="3" t="s">
        <v>31</v>
      </c>
      <c r="F25" s="24" t="s">
        <v>271</v>
      </c>
      <c r="G25" s="3" t="s">
        <v>324</v>
      </c>
      <c r="H25">
        <f t="shared" si="0"/>
        <v>3</v>
      </c>
      <c r="I25">
        <f t="shared" si="1"/>
        <v>3</v>
      </c>
      <c r="J25" s="17">
        <f>'XH2'!H25</f>
        <v>3</v>
      </c>
      <c r="K25">
        <f>'VS2'!G25</f>
        <v>2</v>
      </c>
      <c r="L25" s="2">
        <f>'SG2'!H25</f>
        <v>2</v>
      </c>
      <c r="M25" s="2">
        <f>'CM2'!G25</f>
        <v>4</v>
      </c>
      <c r="N25" s="2">
        <f>'DG2'!G25</f>
        <v>4</v>
      </c>
      <c r="O25" s="2"/>
      <c r="P25" s="2"/>
      <c r="Q25" s="2"/>
      <c r="R25" s="2"/>
      <c r="S25" s="2"/>
      <c r="T25" s="2"/>
      <c r="U25" s="2"/>
      <c r="V25" s="2"/>
      <c r="W25" s="2"/>
      <c r="X25" s="2"/>
      <c r="Y25" s="2"/>
      <c r="Z25" s="2"/>
    </row>
    <row r="26" spans="1:26" x14ac:dyDescent="0.2">
      <c r="A26" s="3" t="s">
        <v>336</v>
      </c>
      <c r="B26" s="3" t="s">
        <v>51</v>
      </c>
      <c r="C26" s="3" t="s">
        <v>290</v>
      </c>
      <c r="D26" s="3" t="s">
        <v>53</v>
      </c>
      <c r="E26" s="3" t="s">
        <v>48</v>
      </c>
      <c r="F26" s="3" t="s">
        <v>54</v>
      </c>
      <c r="G26" s="3" t="s">
        <v>324</v>
      </c>
      <c r="H26">
        <f t="shared" si="0"/>
        <v>3</v>
      </c>
      <c r="I26">
        <f t="shared" si="1"/>
        <v>3</v>
      </c>
      <c r="J26" s="17">
        <f>'XH2'!H26</f>
        <v>3</v>
      </c>
      <c r="K26">
        <f>'VS2'!G26</f>
        <v>4</v>
      </c>
      <c r="L26" s="2">
        <f>'SG2'!H26</f>
        <v>2</v>
      </c>
      <c r="M26" s="2">
        <f>'CM2'!G26</f>
        <v>3</v>
      </c>
      <c r="N26" s="2">
        <f>'DG2'!G26</f>
        <v>3</v>
      </c>
      <c r="O26" s="2"/>
      <c r="P26" s="2"/>
      <c r="Q26" s="2"/>
      <c r="R26" s="2"/>
      <c r="S26" s="2"/>
      <c r="T26" s="2"/>
      <c r="U26" s="2"/>
      <c r="V26" s="2"/>
      <c r="W26" s="2"/>
      <c r="X26" s="2"/>
      <c r="Y26" s="2"/>
      <c r="Z26" s="2"/>
    </row>
    <row r="27" spans="1:26" x14ac:dyDescent="0.2">
      <c r="A27" s="33" t="s">
        <v>337</v>
      </c>
      <c r="B27" s="3" t="s">
        <v>51</v>
      </c>
      <c r="C27" s="3" t="s">
        <v>292</v>
      </c>
      <c r="D27" s="3" t="s">
        <v>53</v>
      </c>
      <c r="E27" s="3" t="s">
        <v>48</v>
      </c>
      <c r="F27" s="3" t="s">
        <v>54</v>
      </c>
      <c r="G27" s="3" t="s">
        <v>324</v>
      </c>
      <c r="H27">
        <f t="shared" si="0"/>
        <v>3.4</v>
      </c>
      <c r="I27">
        <f t="shared" si="1"/>
        <v>4</v>
      </c>
      <c r="J27" s="17">
        <f>'XH2'!H27</f>
        <v>5</v>
      </c>
      <c r="K27">
        <f>'VS2'!G27</f>
        <v>3</v>
      </c>
      <c r="L27" s="2">
        <f>'SG2'!H27</f>
        <v>1</v>
      </c>
      <c r="M27" s="2">
        <f>'CM2'!G27</f>
        <v>4</v>
      </c>
      <c r="N27" s="2">
        <f>'DG2'!G27</f>
        <v>4</v>
      </c>
      <c r="O27" s="2"/>
      <c r="P27" s="2"/>
      <c r="Q27" s="2"/>
      <c r="R27" s="2"/>
      <c r="S27" s="2"/>
      <c r="T27" s="2"/>
      <c r="U27" s="2"/>
      <c r="V27" s="2"/>
      <c r="W27" s="2"/>
      <c r="X27" s="2"/>
      <c r="Y27" s="2"/>
      <c r="Z27" s="2"/>
    </row>
    <row r="28" spans="1:26" x14ac:dyDescent="0.2">
      <c r="A28" s="33" t="s">
        <v>338</v>
      </c>
      <c r="B28" s="3" t="s">
        <v>51</v>
      </c>
      <c r="C28" s="3" t="s">
        <v>291</v>
      </c>
      <c r="D28" s="3" t="s">
        <v>53</v>
      </c>
      <c r="E28" s="3" t="s">
        <v>48</v>
      </c>
      <c r="F28" s="3" t="s">
        <v>54</v>
      </c>
      <c r="G28" s="3" t="s">
        <v>324</v>
      </c>
      <c r="H28">
        <f t="shared" si="0"/>
        <v>3.2</v>
      </c>
      <c r="I28">
        <f t="shared" si="1"/>
        <v>4</v>
      </c>
      <c r="J28" s="17">
        <f>'XH2'!H28</f>
        <v>5</v>
      </c>
      <c r="K28">
        <f>'VS2'!G28</f>
        <v>2</v>
      </c>
      <c r="L28" s="2">
        <f>'SG2'!H28</f>
        <v>1</v>
      </c>
      <c r="M28" s="2">
        <f>'CM2'!G28</f>
        <v>4</v>
      </c>
      <c r="N28" s="2">
        <f>'DG2'!G28</f>
        <v>4</v>
      </c>
      <c r="O28" s="2"/>
      <c r="P28" s="2"/>
      <c r="Q28" s="2"/>
      <c r="R28" s="2"/>
      <c r="S28" s="2"/>
      <c r="T28" s="2"/>
      <c r="U28" s="2"/>
      <c r="V28" s="2"/>
      <c r="W28" s="2"/>
      <c r="X28" s="2"/>
      <c r="Y28" s="2"/>
      <c r="Z28" s="2"/>
    </row>
    <row r="29" spans="1:26" x14ac:dyDescent="0.2">
      <c r="A29" s="3" t="s">
        <v>268</v>
      </c>
      <c r="B29" s="2"/>
      <c r="C29" s="2"/>
      <c r="D29" s="2"/>
      <c r="E29" s="2"/>
      <c r="F29" s="2"/>
      <c r="G29" s="3" t="s">
        <v>324</v>
      </c>
      <c r="J29" s="17"/>
      <c r="L29" s="2"/>
      <c r="M29" s="2"/>
      <c r="N29" s="2"/>
      <c r="O29" s="2"/>
      <c r="P29" s="2"/>
      <c r="Q29" s="2"/>
      <c r="R29" s="2"/>
      <c r="S29" s="2"/>
      <c r="T29" s="2"/>
      <c r="U29" s="2"/>
      <c r="V29" s="2"/>
      <c r="W29" s="2"/>
      <c r="X29" s="2"/>
      <c r="Y29" s="2"/>
      <c r="Z29" s="2"/>
    </row>
    <row r="30" spans="1:26" x14ac:dyDescent="0.2">
      <c r="A30" s="2"/>
      <c r="B30" s="2"/>
      <c r="C30" s="2"/>
      <c r="D30" s="2"/>
      <c r="E30" s="2"/>
      <c r="F30" s="2"/>
      <c r="G30" s="2"/>
      <c r="J30" s="17"/>
      <c r="L30" s="2"/>
      <c r="M30" s="2"/>
      <c r="N30" s="2"/>
      <c r="O30" s="2"/>
      <c r="P30" s="2"/>
      <c r="Q30" s="2"/>
      <c r="R30" s="2"/>
      <c r="S30" s="2"/>
      <c r="T30" s="2"/>
      <c r="U30" s="2"/>
      <c r="V30" s="2"/>
      <c r="W30" s="2"/>
      <c r="X30" s="2"/>
      <c r="Y30" s="2"/>
      <c r="Z30" s="2"/>
    </row>
    <row r="31" spans="1:26" x14ac:dyDescent="0.2">
      <c r="A31" s="1" t="s">
        <v>357</v>
      </c>
      <c r="B31" s="2"/>
      <c r="C31" s="2"/>
      <c r="D31" s="2"/>
      <c r="E31" s="2"/>
      <c r="F31" s="2"/>
      <c r="G31" s="2"/>
      <c r="J31" s="17"/>
      <c r="L31" s="2"/>
      <c r="M31" s="2"/>
      <c r="N31" s="2"/>
      <c r="O31" s="2"/>
      <c r="P31" s="2"/>
      <c r="Q31" s="2"/>
      <c r="R31" s="2"/>
      <c r="S31" s="2"/>
      <c r="T31" s="2"/>
      <c r="U31" s="2"/>
      <c r="V31" s="2"/>
      <c r="W31" s="2"/>
      <c r="X31" s="2"/>
      <c r="Y31" s="2"/>
      <c r="Z31" s="2"/>
    </row>
    <row r="32" spans="1:26" x14ac:dyDescent="0.2">
      <c r="A32" s="1" t="s">
        <v>139</v>
      </c>
      <c r="B32" s="2"/>
      <c r="C32" s="3" t="s">
        <v>116</v>
      </c>
      <c r="D32" s="3" t="s">
        <v>9</v>
      </c>
      <c r="E32" s="3" t="s">
        <v>9</v>
      </c>
      <c r="F32" s="2"/>
      <c r="G32" s="3" t="s">
        <v>18</v>
      </c>
      <c r="J32" s="17"/>
      <c r="L32" s="2"/>
      <c r="M32" s="2"/>
      <c r="N32" s="2"/>
      <c r="O32" s="2"/>
      <c r="P32" s="2"/>
      <c r="Q32" s="2"/>
      <c r="R32" s="2"/>
      <c r="S32" s="2"/>
      <c r="T32" s="2"/>
      <c r="U32" s="2"/>
      <c r="V32" s="2"/>
      <c r="W32" s="2"/>
      <c r="X32" s="2"/>
      <c r="Y32" s="2"/>
      <c r="Z32" s="2"/>
    </row>
    <row r="33" spans="1:26" x14ac:dyDescent="0.2">
      <c r="A33" s="31" t="s">
        <v>117</v>
      </c>
      <c r="B33" s="3" t="s">
        <v>118</v>
      </c>
      <c r="C33" s="3" t="s">
        <v>119</v>
      </c>
      <c r="D33" s="3" t="s">
        <v>120</v>
      </c>
      <c r="E33" s="3" t="s">
        <v>76</v>
      </c>
      <c r="F33" s="24" t="s">
        <v>121</v>
      </c>
      <c r="G33" s="3" t="s">
        <v>324</v>
      </c>
      <c r="H33">
        <f t="shared" si="0"/>
        <v>3.4</v>
      </c>
      <c r="I33">
        <f t="shared" si="1"/>
        <v>3</v>
      </c>
      <c r="J33" s="17">
        <f>'XH2'!H32</f>
        <v>4</v>
      </c>
      <c r="K33">
        <f>'VS2'!G32</f>
        <v>3</v>
      </c>
      <c r="L33" s="2">
        <f>'SG2'!H32</f>
        <v>5</v>
      </c>
      <c r="M33" s="2">
        <f>'CM2'!G32</f>
        <v>2</v>
      </c>
      <c r="N33" s="3">
        <v>3</v>
      </c>
      <c r="O33" s="2"/>
      <c r="P33" s="2"/>
      <c r="Q33" s="2"/>
      <c r="R33" s="2"/>
      <c r="S33" s="2"/>
      <c r="T33" s="2"/>
      <c r="U33" s="2"/>
      <c r="V33" s="2"/>
      <c r="W33" s="2"/>
      <c r="X33" s="2"/>
      <c r="Y33" s="2"/>
      <c r="Z33" s="2"/>
    </row>
    <row r="34" spans="1:26" x14ac:dyDescent="0.2">
      <c r="A34" s="33" t="s">
        <v>122</v>
      </c>
      <c r="B34" s="3" t="s">
        <v>99</v>
      </c>
      <c r="C34" s="3" t="s">
        <v>123</v>
      </c>
      <c r="D34" s="3" t="s">
        <v>101</v>
      </c>
      <c r="E34" s="3" t="s">
        <v>25</v>
      </c>
      <c r="F34" s="25" t="s">
        <v>307</v>
      </c>
      <c r="G34" s="3" t="s">
        <v>324</v>
      </c>
      <c r="H34">
        <f t="shared" si="0"/>
        <v>2.6</v>
      </c>
      <c r="I34">
        <f t="shared" si="1"/>
        <v>2</v>
      </c>
      <c r="J34" s="17">
        <f>'XH2'!H33</f>
        <v>4</v>
      </c>
      <c r="K34">
        <f>'VS2'!G33</f>
        <v>2</v>
      </c>
      <c r="L34" s="2">
        <f>'SG2'!H33</f>
        <v>4</v>
      </c>
      <c r="M34" s="2">
        <f>'CM2'!G33</f>
        <v>1</v>
      </c>
      <c r="N34" s="3">
        <v>2</v>
      </c>
      <c r="O34" s="2"/>
      <c r="P34" s="2"/>
      <c r="Q34" s="2"/>
      <c r="R34" s="2"/>
      <c r="S34" s="2"/>
      <c r="T34" s="2"/>
      <c r="U34" s="2"/>
      <c r="V34" s="2"/>
      <c r="W34" s="2"/>
      <c r="X34" s="2"/>
      <c r="Y34" s="2"/>
      <c r="Z34" s="2"/>
    </row>
    <row r="35" spans="1:26" x14ac:dyDescent="0.2">
      <c r="A35" s="32" t="s">
        <v>362</v>
      </c>
      <c r="B35" s="3" t="s">
        <v>125</v>
      </c>
      <c r="C35" s="3" t="s">
        <v>126</v>
      </c>
      <c r="D35" s="3" t="s">
        <v>127</v>
      </c>
      <c r="E35" s="3" t="s">
        <v>76</v>
      </c>
      <c r="F35" s="24" t="s">
        <v>121</v>
      </c>
      <c r="G35" s="3" t="s">
        <v>324</v>
      </c>
      <c r="H35">
        <f t="shared" si="0"/>
        <v>4</v>
      </c>
      <c r="I35">
        <f t="shared" si="1"/>
        <v>4</v>
      </c>
      <c r="J35" s="17">
        <f>'XH2'!H34</f>
        <v>4</v>
      </c>
      <c r="K35">
        <f>'VS2'!G34</f>
        <v>3</v>
      </c>
      <c r="L35" s="2">
        <f>'SG2'!H34</f>
        <v>4</v>
      </c>
      <c r="M35" s="2">
        <f>'CM2'!G34</f>
        <v>5</v>
      </c>
      <c r="N35" s="3">
        <v>4</v>
      </c>
      <c r="O35" s="2"/>
      <c r="P35" s="2"/>
      <c r="Q35" s="2"/>
      <c r="R35" s="2"/>
      <c r="S35" s="2"/>
      <c r="T35" s="2"/>
      <c r="U35" s="2"/>
      <c r="V35" s="2"/>
      <c r="W35" s="2"/>
      <c r="X35" s="2"/>
      <c r="Y35" s="2"/>
      <c r="Z35" s="2"/>
    </row>
    <row r="36" spans="1:26" x14ac:dyDescent="0.2">
      <c r="A36" s="3" t="s">
        <v>132</v>
      </c>
      <c r="B36" s="3" t="s">
        <v>133</v>
      </c>
      <c r="C36" s="3" t="s">
        <v>134</v>
      </c>
      <c r="D36" s="3">
        <v>2020</v>
      </c>
      <c r="E36" s="3" t="s">
        <v>76</v>
      </c>
      <c r="F36" s="25" t="s">
        <v>135</v>
      </c>
      <c r="G36" s="3" t="s">
        <v>324</v>
      </c>
      <c r="H36">
        <f t="shared" si="0"/>
        <v>2.8</v>
      </c>
      <c r="I36">
        <f t="shared" si="1"/>
        <v>2</v>
      </c>
      <c r="J36" s="17">
        <f>'XH2'!H35</f>
        <v>2</v>
      </c>
      <c r="K36">
        <f>'VS2'!G35</f>
        <v>2</v>
      </c>
      <c r="L36" s="2">
        <f>'SG2'!H35</f>
        <v>4</v>
      </c>
      <c r="M36" s="2">
        <f>'CM2'!G35</f>
        <v>2</v>
      </c>
      <c r="N36" s="3">
        <v>4</v>
      </c>
      <c r="O36" s="2"/>
      <c r="P36" s="2"/>
      <c r="Q36" s="2"/>
      <c r="R36" s="2"/>
      <c r="S36" s="2"/>
      <c r="T36" s="2"/>
      <c r="U36" s="2"/>
      <c r="V36" s="2"/>
      <c r="W36" s="2"/>
      <c r="X36" s="2"/>
      <c r="Y36" s="2"/>
      <c r="Z36" s="2"/>
    </row>
    <row r="37" spans="1:26" x14ac:dyDescent="0.2">
      <c r="A37" s="32" t="s">
        <v>341</v>
      </c>
      <c r="B37" s="3" t="s">
        <v>297</v>
      </c>
      <c r="C37" s="3" t="s">
        <v>282</v>
      </c>
      <c r="D37" s="3" t="s">
        <v>299</v>
      </c>
      <c r="E37" s="3" t="s">
        <v>300</v>
      </c>
      <c r="F37" s="4" t="s">
        <v>298</v>
      </c>
      <c r="G37" s="3" t="s">
        <v>324</v>
      </c>
      <c r="H37">
        <f t="shared" si="0"/>
        <v>3.8</v>
      </c>
      <c r="I37">
        <f t="shared" si="1"/>
        <v>4</v>
      </c>
      <c r="J37" s="17">
        <f>'XH2'!H37</f>
        <v>5</v>
      </c>
      <c r="K37">
        <f>'VS2'!G37</f>
        <v>4</v>
      </c>
      <c r="L37" s="2">
        <f>'SG2'!H37</f>
        <v>4</v>
      </c>
      <c r="M37" s="2">
        <f>'CM2'!G37</f>
        <v>3</v>
      </c>
      <c r="N37" s="3">
        <v>3</v>
      </c>
      <c r="O37" s="2"/>
      <c r="P37" s="2"/>
      <c r="Q37" s="2"/>
      <c r="R37" s="2"/>
      <c r="S37" s="2"/>
      <c r="T37" s="2"/>
      <c r="U37" s="2"/>
      <c r="V37" s="2"/>
      <c r="W37" s="2"/>
      <c r="X37" s="2"/>
      <c r="Y37" s="2"/>
      <c r="Z37" s="2"/>
    </row>
    <row r="38" spans="1:26" x14ac:dyDescent="0.2">
      <c r="A38" s="33" t="s">
        <v>342</v>
      </c>
      <c r="B38" s="2" t="s">
        <v>305</v>
      </c>
      <c r="C38" s="3" t="s">
        <v>284</v>
      </c>
      <c r="D38" s="3" t="s">
        <v>306</v>
      </c>
      <c r="E38" s="3" t="s">
        <v>76</v>
      </c>
      <c r="F38" s="25" t="s">
        <v>308</v>
      </c>
      <c r="G38" s="3" t="s">
        <v>324</v>
      </c>
      <c r="H38">
        <f t="shared" si="0"/>
        <v>3.2</v>
      </c>
      <c r="I38">
        <f t="shared" si="1"/>
        <v>3</v>
      </c>
      <c r="J38" s="17">
        <f>'XH2'!H38</f>
        <v>4</v>
      </c>
      <c r="K38">
        <f>'VS2'!G38</f>
        <v>5</v>
      </c>
      <c r="L38" s="2">
        <f>'SG2'!H38</f>
        <v>3</v>
      </c>
      <c r="M38" s="2">
        <f>'CM2'!G38</f>
        <v>2</v>
      </c>
      <c r="N38" s="3">
        <v>2</v>
      </c>
      <c r="O38" s="2"/>
      <c r="P38" s="2"/>
      <c r="Q38" s="2"/>
      <c r="R38" s="2"/>
      <c r="S38" s="2"/>
      <c r="T38" s="2"/>
      <c r="U38" s="2"/>
      <c r="V38" s="2"/>
      <c r="W38" s="2"/>
      <c r="X38" s="2"/>
      <c r="Y38" s="2"/>
      <c r="Z38" s="2"/>
    </row>
    <row r="39" spans="1:26" x14ac:dyDescent="0.2">
      <c r="A39" s="3" t="s">
        <v>343</v>
      </c>
      <c r="B39" s="2" t="s">
        <v>273</v>
      </c>
      <c r="C39" s="2" t="s">
        <v>283</v>
      </c>
      <c r="D39" s="2" t="s">
        <v>241</v>
      </c>
      <c r="E39" s="3" t="s">
        <v>16</v>
      </c>
      <c r="F39" s="25" t="s">
        <v>274</v>
      </c>
      <c r="G39" s="3" t="s">
        <v>324</v>
      </c>
      <c r="H39">
        <f t="shared" si="0"/>
        <v>3</v>
      </c>
      <c r="I39">
        <f t="shared" si="1"/>
        <v>3</v>
      </c>
      <c r="J39" s="17">
        <f>'XH2'!H39</f>
        <v>4</v>
      </c>
      <c r="K39">
        <f>'VS2'!G39</f>
        <v>2</v>
      </c>
      <c r="L39" s="2">
        <f>'SG2'!H39</f>
        <v>4</v>
      </c>
      <c r="M39" s="2">
        <f>'CM2'!G39</f>
        <v>3</v>
      </c>
      <c r="N39" s="3">
        <v>2</v>
      </c>
      <c r="O39" s="2"/>
      <c r="P39" s="2"/>
      <c r="Q39" s="2"/>
      <c r="R39" s="2"/>
      <c r="S39" s="2"/>
      <c r="T39" s="2"/>
      <c r="U39" s="2"/>
      <c r="V39" s="2"/>
      <c r="W39" s="2"/>
      <c r="X39" s="2"/>
      <c r="Y39" s="2"/>
      <c r="Z39" s="2"/>
    </row>
    <row r="40" spans="1:26" x14ac:dyDescent="0.2">
      <c r="A40" s="2"/>
      <c r="B40" s="2"/>
      <c r="C40" s="2"/>
      <c r="D40" s="2"/>
      <c r="E40" s="2"/>
      <c r="F40" s="2"/>
      <c r="G40" s="3" t="s">
        <v>324</v>
      </c>
      <c r="J40" s="17"/>
      <c r="L40" s="2"/>
      <c r="M40" s="2"/>
      <c r="O40" s="2"/>
      <c r="P40" s="2"/>
      <c r="Q40" s="2"/>
      <c r="R40" s="2"/>
      <c r="S40" s="2"/>
      <c r="T40" s="2"/>
      <c r="U40" s="2"/>
      <c r="V40" s="2"/>
      <c r="W40" s="2"/>
      <c r="X40" s="2"/>
      <c r="Y40" s="2"/>
      <c r="Z40" s="2"/>
    </row>
    <row r="41" spans="1:26" x14ac:dyDescent="0.2">
      <c r="A41" s="1" t="s">
        <v>358</v>
      </c>
      <c r="B41" s="2"/>
      <c r="C41" s="2"/>
      <c r="D41" s="2"/>
      <c r="E41" s="2"/>
      <c r="F41" s="2"/>
      <c r="G41" s="3"/>
      <c r="J41" s="17"/>
      <c r="L41" s="2"/>
      <c r="M41" s="2"/>
      <c r="N41" s="2"/>
      <c r="O41" s="2"/>
      <c r="P41" s="2"/>
      <c r="Q41" s="2"/>
      <c r="R41" s="2"/>
      <c r="S41" s="2"/>
      <c r="T41" s="2"/>
      <c r="U41" s="2"/>
      <c r="V41" s="2"/>
      <c r="W41" s="2"/>
      <c r="X41" s="2"/>
      <c r="Y41" s="2"/>
      <c r="Z41" s="2"/>
    </row>
    <row r="42" spans="1:26" x14ac:dyDescent="0.2">
      <c r="A42" s="3" t="s">
        <v>349</v>
      </c>
      <c r="B42" s="3" t="s">
        <v>303</v>
      </c>
      <c r="C42" s="3" t="s">
        <v>286</v>
      </c>
      <c r="D42" s="3" t="s">
        <v>236</v>
      </c>
      <c r="E42" s="3" t="s">
        <v>316</v>
      </c>
      <c r="F42" s="24" t="s">
        <v>251</v>
      </c>
      <c r="G42" s="3" t="s">
        <v>324</v>
      </c>
      <c r="H42">
        <f t="shared" si="0"/>
        <v>3</v>
      </c>
      <c r="I42">
        <f t="shared" si="1"/>
        <v>3</v>
      </c>
      <c r="J42" s="17">
        <f>'XH2'!H59</f>
        <v>3</v>
      </c>
      <c r="K42">
        <f>'VS2'!G59</f>
        <v>3</v>
      </c>
      <c r="L42" s="2">
        <f>'SG2'!H59</f>
        <v>2</v>
      </c>
      <c r="M42" s="2">
        <f>'CM2'!G59</f>
        <v>3</v>
      </c>
      <c r="N42" s="2">
        <v>4</v>
      </c>
      <c r="O42" s="2"/>
      <c r="P42" s="2"/>
      <c r="Q42" s="2"/>
      <c r="R42" s="2"/>
      <c r="S42" s="2"/>
      <c r="T42" s="2"/>
      <c r="U42" s="2"/>
      <c r="V42" s="2"/>
      <c r="W42" s="2"/>
      <c r="X42" s="2"/>
      <c r="Y42" s="2"/>
      <c r="Z42" s="2"/>
    </row>
    <row r="43" spans="1:26" x14ac:dyDescent="0.2">
      <c r="A43" s="3" t="s">
        <v>350</v>
      </c>
      <c r="B43" s="3" t="s">
        <v>303</v>
      </c>
      <c r="C43" s="3" t="s">
        <v>288</v>
      </c>
      <c r="D43" s="3" t="s">
        <v>236</v>
      </c>
      <c r="E43" s="3" t="s">
        <v>316</v>
      </c>
      <c r="F43" s="25" t="s">
        <v>251</v>
      </c>
      <c r="G43" s="3" t="s">
        <v>324</v>
      </c>
      <c r="H43">
        <f t="shared" si="0"/>
        <v>3.2</v>
      </c>
      <c r="I43">
        <f t="shared" si="1"/>
        <v>3</v>
      </c>
      <c r="J43" s="17">
        <f>'XH2'!H60</f>
        <v>4</v>
      </c>
      <c r="K43">
        <f>'VS2'!G60</f>
        <v>4</v>
      </c>
      <c r="L43" s="2">
        <f>'SG2'!H60</f>
        <v>3</v>
      </c>
      <c r="M43" s="2">
        <f>'CM2'!G60</f>
        <v>2</v>
      </c>
      <c r="N43" s="2">
        <v>3</v>
      </c>
      <c r="O43" s="2"/>
      <c r="P43" s="2"/>
      <c r="Q43" s="2"/>
      <c r="R43" s="2"/>
      <c r="S43" s="2"/>
      <c r="T43" s="2"/>
      <c r="U43" s="2"/>
      <c r="V43" s="2"/>
      <c r="W43" s="2"/>
      <c r="X43" s="2"/>
      <c r="Y43" s="2"/>
      <c r="Z43" s="2"/>
    </row>
    <row r="44" spans="1:26" x14ac:dyDescent="0.2">
      <c r="A44" s="32" t="s">
        <v>83</v>
      </c>
      <c r="B44" s="3" t="s">
        <v>84</v>
      </c>
      <c r="C44" s="3" t="s">
        <v>85</v>
      </c>
      <c r="D44" s="3" t="s">
        <v>86</v>
      </c>
      <c r="E44" s="3" t="s">
        <v>76</v>
      </c>
      <c r="F44" s="24" t="s">
        <v>87</v>
      </c>
      <c r="G44" s="3" t="s">
        <v>324</v>
      </c>
      <c r="H44">
        <f t="shared" si="0"/>
        <v>4.2</v>
      </c>
      <c r="I44">
        <f t="shared" si="1"/>
        <v>4</v>
      </c>
      <c r="J44" s="17">
        <f>'XH2'!H54</f>
        <v>5</v>
      </c>
      <c r="K44">
        <f>'VS2'!G54</f>
        <v>5</v>
      </c>
      <c r="L44" s="2">
        <f>'SG2'!H54</f>
        <v>4</v>
      </c>
      <c r="M44" s="2">
        <f>'CM2'!G54</f>
        <v>3</v>
      </c>
      <c r="N44" s="2">
        <v>4</v>
      </c>
      <c r="O44" s="2"/>
      <c r="P44" s="2"/>
      <c r="Q44" s="2"/>
      <c r="R44" s="2"/>
      <c r="S44" s="2"/>
      <c r="T44" s="2"/>
      <c r="U44" s="2"/>
      <c r="V44" s="2"/>
      <c r="W44" s="2"/>
      <c r="X44" s="2"/>
      <c r="Y44" s="2"/>
      <c r="Z44" s="2"/>
    </row>
    <row r="45" spans="1:26" x14ac:dyDescent="0.2">
      <c r="A45" s="32" t="s">
        <v>339</v>
      </c>
      <c r="B45" s="3" t="s">
        <v>340</v>
      </c>
      <c r="C45" s="3" t="s">
        <v>294</v>
      </c>
      <c r="D45" s="3" t="s">
        <v>293</v>
      </c>
      <c r="E45" s="3" t="s">
        <v>76</v>
      </c>
      <c r="F45" s="25" t="s">
        <v>295</v>
      </c>
      <c r="G45" s="3" t="s">
        <v>324</v>
      </c>
      <c r="H45">
        <f t="shared" si="0"/>
        <v>4</v>
      </c>
      <c r="I45">
        <f t="shared" si="1"/>
        <v>4</v>
      </c>
      <c r="J45" s="17">
        <f>'XH2'!H36</f>
        <v>4</v>
      </c>
      <c r="K45">
        <f>'VS2'!G36</f>
        <v>3</v>
      </c>
      <c r="L45" s="2">
        <f>'SG2'!H36</f>
        <v>4</v>
      </c>
      <c r="M45" s="2">
        <f>'CM2'!G36</f>
        <v>4</v>
      </c>
      <c r="N45" s="2">
        <v>5</v>
      </c>
      <c r="O45" s="2"/>
      <c r="P45" s="2"/>
      <c r="Q45" s="2"/>
      <c r="R45" s="2"/>
      <c r="S45" s="2"/>
      <c r="T45" s="2"/>
      <c r="U45" s="2"/>
      <c r="V45" s="2"/>
      <c r="W45" s="2"/>
      <c r="X45" s="2"/>
      <c r="Y45" s="2"/>
      <c r="Z45" s="2"/>
    </row>
    <row r="46" spans="1:26" x14ac:dyDescent="0.2">
      <c r="A46" s="2"/>
      <c r="B46" s="2"/>
      <c r="C46" s="2"/>
      <c r="D46" s="2"/>
      <c r="E46" s="2"/>
      <c r="F46" s="2"/>
      <c r="G46" s="2"/>
      <c r="J46" s="17"/>
      <c r="L46" s="2"/>
      <c r="M46" s="2"/>
      <c r="N46" s="2"/>
      <c r="O46" s="2"/>
      <c r="P46" s="2"/>
      <c r="Q46" s="2"/>
      <c r="R46" s="2"/>
      <c r="S46" s="2"/>
      <c r="T46" s="2"/>
      <c r="U46" s="2"/>
      <c r="V46" s="2"/>
      <c r="W46" s="2"/>
      <c r="X46" s="2"/>
      <c r="Y46" s="2"/>
      <c r="Z46" s="2"/>
    </row>
    <row r="47" spans="1:26" x14ac:dyDescent="0.2">
      <c r="A47" s="1" t="s">
        <v>63</v>
      </c>
      <c r="B47" s="2"/>
      <c r="C47" s="1" t="s">
        <v>64</v>
      </c>
      <c r="D47" s="3" t="s">
        <v>9</v>
      </c>
      <c r="E47" s="3" t="s">
        <v>9</v>
      </c>
      <c r="F47" s="2"/>
      <c r="G47" s="3" t="s">
        <v>18</v>
      </c>
      <c r="J47" s="17"/>
      <c r="L47" s="2"/>
      <c r="M47" s="2"/>
      <c r="N47" s="2"/>
      <c r="O47" s="2"/>
      <c r="P47" s="2"/>
      <c r="Q47" s="2"/>
      <c r="R47" s="2"/>
      <c r="S47" s="2"/>
      <c r="T47" s="2"/>
      <c r="U47" s="2"/>
      <c r="V47" s="2"/>
      <c r="W47" s="2"/>
      <c r="X47" s="2"/>
      <c r="Y47" s="2"/>
      <c r="Z47" s="2"/>
    </row>
    <row r="48" spans="1:26" x14ac:dyDescent="0.2">
      <c r="A48" s="1" t="s">
        <v>103</v>
      </c>
      <c r="B48" s="2"/>
      <c r="C48" s="3" t="s">
        <v>104</v>
      </c>
      <c r="D48" s="3" t="s">
        <v>9</v>
      </c>
      <c r="E48" s="3" t="s">
        <v>9</v>
      </c>
      <c r="F48" s="2"/>
      <c r="G48" s="3" t="s">
        <v>18</v>
      </c>
      <c r="J48" s="17"/>
      <c r="L48" s="2"/>
      <c r="M48" s="2"/>
      <c r="N48" s="2"/>
      <c r="O48" s="2"/>
      <c r="P48" s="2"/>
      <c r="Q48" s="2"/>
      <c r="R48" s="2"/>
      <c r="S48" s="2"/>
      <c r="T48" s="2"/>
      <c r="U48" s="2"/>
      <c r="V48" s="2"/>
      <c r="W48" s="2"/>
      <c r="X48" s="2"/>
      <c r="Y48" s="2"/>
      <c r="Z48" s="2"/>
    </row>
    <row r="49" spans="1:26" x14ac:dyDescent="0.2">
      <c r="A49" s="31" t="s">
        <v>105</v>
      </c>
      <c r="B49" s="3" t="s">
        <v>106</v>
      </c>
      <c r="C49" s="3" t="s">
        <v>107</v>
      </c>
      <c r="D49" s="3" t="s">
        <v>108</v>
      </c>
      <c r="E49" s="3" t="s">
        <v>316</v>
      </c>
      <c r="F49" s="2"/>
      <c r="G49" s="3" t="s">
        <v>324</v>
      </c>
      <c r="H49">
        <f t="shared" si="0"/>
        <v>2.4</v>
      </c>
      <c r="I49">
        <f t="shared" si="1"/>
        <v>3</v>
      </c>
      <c r="J49" s="17">
        <f>'XH2'!H44</f>
        <v>3</v>
      </c>
      <c r="K49">
        <f>'VS2'!G44</f>
        <v>2</v>
      </c>
      <c r="L49" s="2">
        <f>'SG2'!H44</f>
        <v>3</v>
      </c>
      <c r="M49" s="2">
        <f>'CM2'!G44</f>
        <v>1</v>
      </c>
      <c r="N49" s="3">
        <v>3</v>
      </c>
      <c r="O49" s="2"/>
      <c r="P49" s="2"/>
      <c r="Q49" s="2"/>
      <c r="R49" s="2"/>
      <c r="S49" s="2"/>
      <c r="T49" s="2"/>
      <c r="U49" s="2"/>
      <c r="V49" s="2"/>
      <c r="W49" s="2"/>
      <c r="X49" s="2"/>
      <c r="Y49" s="2"/>
      <c r="Z49" s="2"/>
    </row>
    <row r="50" spans="1:26" x14ac:dyDescent="0.2">
      <c r="A50" s="31" t="s">
        <v>110</v>
      </c>
      <c r="B50" s="3" t="s">
        <v>106</v>
      </c>
      <c r="C50" s="3" t="s">
        <v>111</v>
      </c>
      <c r="D50" s="3" t="s">
        <v>108</v>
      </c>
      <c r="E50" s="3" t="s">
        <v>112</v>
      </c>
      <c r="F50" s="2"/>
      <c r="G50" s="3" t="s">
        <v>324</v>
      </c>
      <c r="H50">
        <f t="shared" si="0"/>
        <v>2</v>
      </c>
      <c r="I50">
        <f t="shared" si="1"/>
        <v>2</v>
      </c>
      <c r="J50" s="17">
        <f>'XH2'!H45</f>
        <v>3</v>
      </c>
      <c r="K50">
        <f>'VS2'!G45</f>
        <v>2</v>
      </c>
      <c r="L50" s="2">
        <f>'SG2'!H45</f>
        <v>2</v>
      </c>
      <c r="M50" s="2">
        <f>'CM2'!G45</f>
        <v>1</v>
      </c>
      <c r="N50" s="3">
        <v>2</v>
      </c>
      <c r="O50" s="2"/>
      <c r="P50" s="2"/>
      <c r="Q50" s="2"/>
      <c r="R50" s="2"/>
      <c r="S50" s="2"/>
      <c r="T50" s="2"/>
      <c r="U50" s="2"/>
      <c r="V50" s="2"/>
      <c r="W50" s="2"/>
      <c r="X50" s="2"/>
      <c r="Y50" s="2"/>
      <c r="Z50" s="2"/>
    </row>
    <row r="51" spans="1:26" x14ac:dyDescent="0.2">
      <c r="A51" s="31" t="s">
        <v>113</v>
      </c>
      <c r="B51" s="3" t="s">
        <v>106</v>
      </c>
      <c r="C51" s="3" t="s">
        <v>114</v>
      </c>
      <c r="D51" s="3" t="s">
        <v>108</v>
      </c>
      <c r="E51" s="3" t="s">
        <v>115</v>
      </c>
      <c r="F51" s="2"/>
      <c r="G51" s="3" t="s">
        <v>324</v>
      </c>
      <c r="H51">
        <f t="shared" si="0"/>
        <v>2.2000000000000002</v>
      </c>
      <c r="I51">
        <f t="shared" si="1"/>
        <v>2</v>
      </c>
      <c r="J51" s="17">
        <f>'XH2'!H46</f>
        <v>2</v>
      </c>
      <c r="K51">
        <f>'VS2'!G46</f>
        <v>3</v>
      </c>
      <c r="L51" s="2">
        <f>'SG2'!H46</f>
        <v>1</v>
      </c>
      <c r="M51" s="2">
        <f>'CM2'!G46</f>
        <v>1</v>
      </c>
      <c r="N51" s="3">
        <v>4</v>
      </c>
      <c r="O51" s="2"/>
      <c r="P51" s="2"/>
      <c r="Q51" s="2"/>
      <c r="R51" s="2"/>
      <c r="S51" s="2"/>
      <c r="T51" s="2"/>
      <c r="U51" s="2"/>
      <c r="V51" s="2"/>
      <c r="W51" s="2"/>
      <c r="X51" s="2"/>
      <c r="Y51" s="2"/>
      <c r="Z51" s="2"/>
    </row>
    <row r="52" spans="1:26" x14ac:dyDescent="0.2">
      <c r="A52" s="32" t="s">
        <v>344</v>
      </c>
      <c r="B52" s="17" t="s">
        <v>245</v>
      </c>
      <c r="C52" s="3" t="s">
        <v>287</v>
      </c>
      <c r="D52" s="17" t="s">
        <v>246</v>
      </c>
      <c r="E52" s="3" t="s">
        <v>316</v>
      </c>
      <c r="F52" s="25" t="s">
        <v>317</v>
      </c>
      <c r="G52" s="3" t="s">
        <v>324</v>
      </c>
      <c r="H52">
        <f t="shared" si="0"/>
        <v>3</v>
      </c>
      <c r="I52">
        <f t="shared" si="1"/>
        <v>3</v>
      </c>
      <c r="J52" s="17">
        <f>'XH2'!H47</f>
        <v>3</v>
      </c>
      <c r="K52">
        <f>'VS2'!G47</f>
        <v>5</v>
      </c>
      <c r="L52" s="2">
        <f>'SG2'!H47</f>
        <v>4</v>
      </c>
      <c r="M52" s="2">
        <f>'CM2'!G47</f>
        <v>1</v>
      </c>
      <c r="N52" s="3">
        <v>2</v>
      </c>
      <c r="O52" s="2"/>
      <c r="P52" s="2"/>
      <c r="Q52" s="2"/>
      <c r="R52" s="2"/>
      <c r="S52" s="2"/>
      <c r="T52" s="2"/>
      <c r="U52" s="2"/>
      <c r="V52" s="2"/>
      <c r="W52" s="2"/>
      <c r="X52" s="2"/>
      <c r="Y52" s="2"/>
      <c r="Z52" s="2"/>
    </row>
    <row r="53" spans="1:26" x14ac:dyDescent="0.2">
      <c r="A53" s="3" t="s">
        <v>345</v>
      </c>
      <c r="B53" s="17" t="s">
        <v>310</v>
      </c>
      <c r="C53" s="17" t="s">
        <v>311</v>
      </c>
      <c r="D53" s="17" t="s">
        <v>312</v>
      </c>
      <c r="E53" s="17" t="s">
        <v>76</v>
      </c>
      <c r="F53" s="25" t="s">
        <v>315</v>
      </c>
      <c r="G53" s="3" t="s">
        <v>324</v>
      </c>
      <c r="H53">
        <f t="shared" si="0"/>
        <v>2.4</v>
      </c>
      <c r="I53">
        <f t="shared" si="1"/>
        <v>2</v>
      </c>
      <c r="J53" s="17">
        <f>'XH2'!H48</f>
        <v>3</v>
      </c>
      <c r="K53">
        <f>'VS2'!G48</f>
        <v>2</v>
      </c>
      <c r="L53" s="2">
        <f>'SG2'!H48</f>
        <v>4</v>
      </c>
      <c r="M53" s="2">
        <f>'CM2'!G48</f>
        <v>1</v>
      </c>
      <c r="N53" s="3">
        <v>2</v>
      </c>
      <c r="O53" s="2"/>
      <c r="P53" s="2"/>
      <c r="Q53" s="2"/>
      <c r="R53" s="2"/>
      <c r="S53" s="2"/>
      <c r="T53" s="2"/>
      <c r="U53" s="2"/>
      <c r="V53" s="2"/>
      <c r="W53" s="2"/>
      <c r="X53" s="2"/>
      <c r="Y53" s="2"/>
      <c r="Z53" s="2"/>
    </row>
    <row r="54" spans="1:26" x14ac:dyDescent="0.2">
      <c r="A54" s="3" t="s">
        <v>361</v>
      </c>
      <c r="J54" s="17"/>
      <c r="L54" s="2"/>
      <c r="M54" s="2"/>
      <c r="N54" s="3"/>
      <c r="O54" s="2"/>
      <c r="P54" s="2"/>
      <c r="Q54" s="2"/>
      <c r="R54" s="2"/>
      <c r="S54" s="2"/>
      <c r="T54" s="2"/>
      <c r="U54" s="2"/>
      <c r="V54" s="2"/>
      <c r="W54" s="2"/>
      <c r="X54" s="2"/>
      <c r="Y54" s="2"/>
      <c r="Z54" s="2"/>
    </row>
    <row r="55" spans="1:26" x14ac:dyDescent="0.2">
      <c r="A55" s="3" t="s">
        <v>360</v>
      </c>
      <c r="B55" s="17"/>
      <c r="C55" s="17"/>
      <c r="D55" s="17"/>
      <c r="E55" s="17"/>
      <c r="F55" s="25"/>
      <c r="G55" s="3"/>
      <c r="J55" s="17"/>
      <c r="L55" s="2"/>
      <c r="M55" s="2"/>
      <c r="N55" s="3"/>
      <c r="O55" s="2"/>
      <c r="P55" s="2"/>
      <c r="Q55" s="2"/>
      <c r="R55" s="2"/>
      <c r="S55" s="2"/>
      <c r="T55" s="2"/>
      <c r="U55" s="2"/>
      <c r="V55" s="2"/>
      <c r="W55" s="2"/>
      <c r="X55" s="2"/>
      <c r="Y55" s="2"/>
      <c r="Z55" s="2"/>
    </row>
    <row r="56" spans="1:26" x14ac:dyDescent="0.2">
      <c r="B56" s="3" t="s">
        <v>360</v>
      </c>
      <c r="C56" s="3" t="s">
        <v>360</v>
      </c>
      <c r="D56" s="3" t="s">
        <v>360</v>
      </c>
      <c r="E56" s="3" t="s">
        <v>360</v>
      </c>
      <c r="F56" s="3" t="s">
        <v>360</v>
      </c>
      <c r="G56" s="3" t="s">
        <v>360</v>
      </c>
      <c r="H56" s="3" t="s">
        <v>360</v>
      </c>
      <c r="I56" s="3" t="s">
        <v>360</v>
      </c>
      <c r="J56" s="17"/>
      <c r="L56" s="2"/>
      <c r="M56" s="2"/>
      <c r="N56" s="2"/>
      <c r="O56" s="2"/>
      <c r="P56" s="2"/>
      <c r="Q56" s="2"/>
      <c r="R56" s="2"/>
      <c r="S56" s="2"/>
      <c r="T56" s="2"/>
      <c r="U56" s="2"/>
      <c r="V56" s="2"/>
      <c r="W56" s="2"/>
      <c r="X56" s="2"/>
      <c r="Y56" s="2"/>
      <c r="Z56" s="2"/>
    </row>
    <row r="57" spans="1:26" x14ac:dyDescent="0.2">
      <c r="A57" s="1" t="s">
        <v>65</v>
      </c>
      <c r="B57" s="2"/>
      <c r="C57" s="3" t="s">
        <v>66</v>
      </c>
      <c r="D57" s="3" t="s">
        <v>9</v>
      </c>
      <c r="E57" s="3" t="s">
        <v>9</v>
      </c>
      <c r="F57" s="2"/>
      <c r="G57" s="3" t="s">
        <v>18</v>
      </c>
      <c r="J57" s="17"/>
      <c r="L57" s="2"/>
      <c r="M57" s="2"/>
      <c r="N57" s="2"/>
      <c r="O57" s="2"/>
      <c r="P57" s="2"/>
      <c r="Q57" s="2"/>
      <c r="R57" s="2"/>
      <c r="S57" s="2"/>
      <c r="T57" s="2"/>
      <c r="U57" s="2"/>
      <c r="V57" s="2"/>
      <c r="W57" s="2"/>
      <c r="X57" s="2"/>
      <c r="Y57" s="2"/>
      <c r="Z57" s="2"/>
    </row>
    <row r="58" spans="1:26" x14ac:dyDescent="0.2">
      <c r="A58" s="31" t="s">
        <v>67</v>
      </c>
      <c r="B58" s="3" t="s">
        <v>68</v>
      </c>
      <c r="C58" s="3" t="s">
        <v>69</v>
      </c>
      <c r="D58" s="3">
        <v>2017</v>
      </c>
      <c r="E58" s="3" t="s">
        <v>70</v>
      </c>
      <c r="F58" s="24" t="s">
        <v>71</v>
      </c>
      <c r="G58" s="3" t="s">
        <v>324</v>
      </c>
      <c r="H58">
        <f t="shared" si="0"/>
        <v>3</v>
      </c>
      <c r="I58">
        <f t="shared" si="1"/>
        <v>3</v>
      </c>
      <c r="J58" s="17">
        <f>'XH2'!H51</f>
        <v>3</v>
      </c>
      <c r="K58">
        <f>'VS2'!G51</f>
        <v>4</v>
      </c>
      <c r="L58" s="2">
        <f>'SG2'!H51</f>
        <v>4</v>
      </c>
      <c r="M58" s="2">
        <f>'CM2'!G51</f>
        <v>1</v>
      </c>
      <c r="N58" s="3">
        <v>3</v>
      </c>
      <c r="O58" s="2"/>
      <c r="P58" s="2"/>
      <c r="Q58" s="2"/>
      <c r="R58" s="2"/>
      <c r="S58" s="2"/>
      <c r="T58" s="2"/>
      <c r="U58" s="2"/>
      <c r="V58" s="2"/>
      <c r="W58" s="2"/>
      <c r="X58" s="2"/>
      <c r="Y58" s="2"/>
      <c r="Z58" s="2"/>
    </row>
    <row r="59" spans="1:26" x14ac:dyDescent="0.2">
      <c r="A59" s="32" t="s">
        <v>72</v>
      </c>
      <c r="B59" s="3" t="s">
        <v>73</v>
      </c>
      <c r="C59" s="3" t="s">
        <v>74</v>
      </c>
      <c r="D59" s="3" t="s">
        <v>75</v>
      </c>
      <c r="E59" s="3" t="s">
        <v>76</v>
      </c>
      <c r="F59" s="24" t="s">
        <v>77</v>
      </c>
      <c r="G59" s="3" t="s">
        <v>324</v>
      </c>
      <c r="H59">
        <f t="shared" si="0"/>
        <v>4</v>
      </c>
      <c r="I59">
        <f t="shared" si="1"/>
        <v>4</v>
      </c>
      <c r="J59" s="17">
        <f>'XH2'!H52</f>
        <v>4</v>
      </c>
      <c r="K59">
        <f>'VS2'!G52</f>
        <v>4</v>
      </c>
      <c r="L59" s="2">
        <f>'SG2'!H52</f>
        <v>4</v>
      </c>
      <c r="M59" s="2">
        <f>'CM2'!G52</f>
        <v>4</v>
      </c>
      <c r="N59" s="3">
        <v>4</v>
      </c>
      <c r="O59" s="2"/>
      <c r="P59" s="2"/>
      <c r="Q59" s="2"/>
      <c r="R59" s="2"/>
      <c r="S59" s="2"/>
      <c r="T59" s="2"/>
      <c r="U59" s="2"/>
      <c r="V59" s="2"/>
      <c r="W59" s="2"/>
      <c r="X59" s="2"/>
      <c r="Y59" s="2"/>
      <c r="Z59" s="2"/>
    </row>
    <row r="60" spans="1:26" x14ac:dyDescent="0.2">
      <c r="A60" s="3" t="s">
        <v>78</v>
      </c>
      <c r="B60" s="3" t="s">
        <v>79</v>
      </c>
      <c r="C60" s="3" t="s">
        <v>80</v>
      </c>
      <c r="D60" s="3" t="s">
        <v>81</v>
      </c>
      <c r="E60" s="3" t="s">
        <v>76</v>
      </c>
      <c r="F60" s="24" t="s">
        <v>82</v>
      </c>
      <c r="G60" s="3" t="s">
        <v>324</v>
      </c>
      <c r="H60">
        <f t="shared" si="0"/>
        <v>4</v>
      </c>
      <c r="I60">
        <f t="shared" si="1"/>
        <v>4</v>
      </c>
      <c r="J60" s="17">
        <f>'XH2'!H53</f>
        <v>4</v>
      </c>
      <c r="K60">
        <f>'VS2'!G53</f>
        <v>4</v>
      </c>
      <c r="L60" s="2">
        <f>'SG2'!H53</f>
        <v>3</v>
      </c>
      <c r="M60" s="2">
        <f>'CM2'!G53</f>
        <v>5</v>
      </c>
      <c r="N60" s="3">
        <v>4</v>
      </c>
      <c r="O60" s="2"/>
      <c r="P60" s="2"/>
      <c r="Q60" s="2"/>
      <c r="R60" s="2"/>
      <c r="S60" s="2"/>
      <c r="T60" s="2"/>
      <c r="U60" s="2"/>
      <c r="V60" s="2"/>
      <c r="W60" s="2"/>
      <c r="X60" s="2"/>
      <c r="Y60" s="2"/>
      <c r="Z60" s="2"/>
    </row>
    <row r="61" spans="1:26" x14ac:dyDescent="0.2">
      <c r="A61" s="11" t="s">
        <v>88</v>
      </c>
      <c r="B61" s="3" t="s">
        <v>89</v>
      </c>
      <c r="C61" s="3" t="s">
        <v>90</v>
      </c>
      <c r="D61" s="3" t="s">
        <v>81</v>
      </c>
      <c r="E61" s="3" t="s">
        <v>316</v>
      </c>
      <c r="F61" s="3" t="s">
        <v>92</v>
      </c>
      <c r="G61" s="3" t="s">
        <v>324</v>
      </c>
      <c r="H61">
        <f t="shared" si="0"/>
        <v>3.6</v>
      </c>
      <c r="I61">
        <f t="shared" si="1"/>
        <v>4</v>
      </c>
      <c r="J61" s="17">
        <f>'XH2'!H55</f>
        <v>4</v>
      </c>
      <c r="K61">
        <f>'VS2'!G55</f>
        <v>3</v>
      </c>
      <c r="L61" s="2">
        <f>'SG2'!H55</f>
        <v>4</v>
      </c>
      <c r="M61" s="2">
        <f>'CM2'!G55</f>
        <v>4</v>
      </c>
      <c r="N61" s="3">
        <v>3</v>
      </c>
      <c r="O61" s="2"/>
      <c r="P61" s="2"/>
      <c r="Q61" s="2"/>
      <c r="R61" s="2"/>
      <c r="S61" s="2"/>
      <c r="T61" s="2"/>
      <c r="U61" s="2"/>
      <c r="V61" s="2"/>
      <c r="W61" s="2"/>
      <c r="X61" s="2"/>
      <c r="Y61" s="2"/>
      <c r="Z61" s="2"/>
    </row>
    <row r="62" spans="1:26" x14ac:dyDescent="0.2">
      <c r="A62" s="31" t="s">
        <v>93</v>
      </c>
      <c r="B62" s="3" t="s">
        <v>94</v>
      </c>
      <c r="C62" s="3" t="s">
        <v>95</v>
      </c>
      <c r="D62" s="3" t="s">
        <v>96</v>
      </c>
      <c r="E62" s="3" t="s">
        <v>316</v>
      </c>
      <c r="F62" s="24" t="s">
        <v>97</v>
      </c>
      <c r="G62" s="3" t="s">
        <v>324</v>
      </c>
      <c r="H62">
        <f t="shared" si="0"/>
        <v>3.2</v>
      </c>
      <c r="I62">
        <f t="shared" si="1"/>
        <v>3</v>
      </c>
      <c r="J62" s="17">
        <f>'XH2'!H56</f>
        <v>4</v>
      </c>
      <c r="K62">
        <f>'VS2'!G56</f>
        <v>3</v>
      </c>
      <c r="L62" s="2">
        <f>'SG2'!H56</f>
        <v>4</v>
      </c>
      <c r="M62" s="2">
        <f>'CM2'!G56</f>
        <v>2</v>
      </c>
      <c r="N62" s="3">
        <v>3</v>
      </c>
      <c r="O62" s="2"/>
      <c r="P62" s="2"/>
      <c r="Q62" s="2"/>
      <c r="R62" s="2"/>
      <c r="S62" s="2"/>
      <c r="T62" s="2"/>
      <c r="U62" s="2"/>
      <c r="V62" s="2"/>
      <c r="W62" s="2"/>
      <c r="X62" s="2"/>
      <c r="Y62" s="2"/>
      <c r="Z62" s="2"/>
    </row>
    <row r="63" spans="1:26" x14ac:dyDescent="0.2">
      <c r="A63" s="3" t="s">
        <v>98</v>
      </c>
      <c r="B63" s="3" t="s">
        <v>99</v>
      </c>
      <c r="C63" s="3" t="s">
        <v>100</v>
      </c>
      <c r="D63" s="3" t="s">
        <v>101</v>
      </c>
      <c r="E63" s="3" t="s">
        <v>25</v>
      </c>
      <c r="F63" s="3" t="s">
        <v>330</v>
      </c>
      <c r="G63" s="3" t="s">
        <v>324</v>
      </c>
      <c r="H63">
        <f t="shared" si="0"/>
        <v>2.6</v>
      </c>
      <c r="I63">
        <f t="shared" si="1"/>
        <v>2</v>
      </c>
      <c r="J63" s="17">
        <f>'XH2'!H57</f>
        <v>4</v>
      </c>
      <c r="K63">
        <f>'VS2'!G57</f>
        <v>2</v>
      </c>
      <c r="L63" s="2">
        <f>'SG2'!H57</f>
        <v>4</v>
      </c>
      <c r="M63" s="2">
        <f>'CM2'!G57</f>
        <v>1</v>
      </c>
      <c r="N63" s="3">
        <v>2</v>
      </c>
      <c r="O63" s="2"/>
      <c r="P63" s="2"/>
      <c r="Q63" s="2"/>
      <c r="R63" s="2"/>
      <c r="S63" s="2"/>
      <c r="T63" s="2"/>
      <c r="U63" s="2"/>
      <c r="V63" s="2"/>
      <c r="W63" s="2"/>
      <c r="X63" s="2"/>
      <c r="Y63" s="2"/>
      <c r="Z63" s="2"/>
    </row>
    <row r="64" spans="1:26" x14ac:dyDescent="0.2">
      <c r="A64" s="11" t="s">
        <v>346</v>
      </c>
      <c r="B64" s="3" t="s">
        <v>219</v>
      </c>
      <c r="C64" s="3" t="s">
        <v>347</v>
      </c>
      <c r="D64" s="3" t="s">
        <v>301</v>
      </c>
      <c r="E64" s="3" t="s">
        <v>76</v>
      </c>
      <c r="F64" s="25" t="s">
        <v>302</v>
      </c>
      <c r="G64" s="3" t="s">
        <v>324</v>
      </c>
      <c r="H64">
        <f t="shared" si="0"/>
        <v>4.5999999999999996</v>
      </c>
      <c r="I64">
        <f t="shared" si="1"/>
        <v>5</v>
      </c>
      <c r="J64" s="17">
        <f>'XH2'!H58</f>
        <v>5</v>
      </c>
      <c r="K64">
        <f>'VS2'!G58</f>
        <v>4</v>
      </c>
      <c r="L64" s="2">
        <f>'SG2'!H58</f>
        <v>5</v>
      </c>
      <c r="M64" s="2">
        <f>'CM2'!G58</f>
        <v>5</v>
      </c>
      <c r="N64" s="3">
        <v>4</v>
      </c>
      <c r="O64" s="2"/>
      <c r="P64" s="2"/>
      <c r="Q64" s="2"/>
      <c r="R64" s="2"/>
      <c r="S64" s="2"/>
      <c r="T64" s="2"/>
      <c r="U64" s="2"/>
      <c r="V64" s="2"/>
      <c r="W64" s="2"/>
      <c r="X64" s="2"/>
      <c r="Y64" s="2"/>
      <c r="Z64" s="2"/>
    </row>
    <row r="66" spans="1:26" x14ac:dyDescent="0.2">
      <c r="A66" s="2"/>
      <c r="B66" s="2"/>
      <c r="C66" s="2"/>
      <c r="D66" s="2"/>
      <c r="E66" s="2"/>
      <c r="F66" s="2"/>
      <c r="G66" s="3"/>
      <c r="H66" s="2"/>
      <c r="I66" s="2"/>
      <c r="J66" s="2"/>
      <c r="K66" s="2"/>
      <c r="L66" s="2"/>
      <c r="M66" s="2"/>
      <c r="N66" s="3"/>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3"/>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x14ac:dyDescent="0.2">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x14ac:dyDescent="0.2">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x14ac:dyDescent="0.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x14ac:dyDescent="0.2">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x14ac:dyDescent="0.2">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sheetData>
  <hyperlinks>
    <hyperlink ref="F10" r:id="rId1" xr:uid="{D4EDF15E-70F2-1845-8753-B7545104ECD9}"/>
    <hyperlink ref="F37" r:id="rId2" xr:uid="{E4E091C7-5B6C-1143-B5A0-8BB81FEE822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AFA8-D566-2246-B36A-FE80D7BCE997}">
  <dimension ref="A1:AA1014"/>
  <sheetViews>
    <sheetView workbookViewId="0">
      <selection activeCell="C24" sqref="C24"/>
    </sheetView>
  </sheetViews>
  <sheetFormatPr baseColWidth="10" defaultRowHeight="16" x14ac:dyDescent="0.2"/>
  <cols>
    <col min="1" max="1" width="65.83203125" bestFit="1" customWidth="1"/>
    <col min="2" max="2" width="16.83203125" customWidth="1"/>
    <col min="3" max="3" width="47.5" bestFit="1" customWidth="1"/>
  </cols>
  <sheetData>
    <row r="1" spans="1:27" x14ac:dyDescent="0.2">
      <c r="A1" s="1" t="s">
        <v>10</v>
      </c>
      <c r="B1" s="2"/>
      <c r="C1" s="3" t="s">
        <v>11</v>
      </c>
      <c r="D1" s="3" t="s">
        <v>9</v>
      </c>
      <c r="E1" s="3" t="s">
        <v>9</v>
      </c>
      <c r="F1" s="2"/>
      <c r="G1" s="3" t="s">
        <v>18</v>
      </c>
      <c r="H1" s="3" t="s">
        <v>355</v>
      </c>
      <c r="I1" s="3" t="s">
        <v>356</v>
      </c>
    </row>
    <row r="2" spans="1:27" x14ac:dyDescent="0.2">
      <c r="A2" s="3" t="s">
        <v>12</v>
      </c>
      <c r="B2" s="3" t="s">
        <v>13</v>
      </c>
      <c r="C2" s="3" t="s">
        <v>263</v>
      </c>
      <c r="D2" s="3" t="s">
        <v>15</v>
      </c>
      <c r="E2" s="3" t="s">
        <v>16</v>
      </c>
      <c r="F2" s="24" t="s">
        <v>17</v>
      </c>
      <c r="G2" s="3" t="s">
        <v>324</v>
      </c>
      <c r="H2">
        <f>scoringR2!H8</f>
        <v>3.6</v>
      </c>
      <c r="I2">
        <f>scoringR2!I8</f>
        <v>3</v>
      </c>
      <c r="K2" s="17"/>
      <c r="M2" s="2"/>
      <c r="N2" s="2"/>
      <c r="O2" s="2"/>
      <c r="P2" s="2"/>
      <c r="Q2" s="2"/>
      <c r="R2" s="2"/>
      <c r="S2" s="2"/>
      <c r="T2" s="2"/>
      <c r="U2" s="2"/>
      <c r="V2" s="2"/>
      <c r="W2" s="2"/>
      <c r="X2" s="2"/>
      <c r="Y2" s="2"/>
      <c r="Z2" s="2"/>
      <c r="AA2" s="2"/>
    </row>
    <row r="3" spans="1:27" x14ac:dyDescent="0.2">
      <c r="A3" s="3" t="s">
        <v>19</v>
      </c>
      <c r="B3" s="3" t="s">
        <v>13</v>
      </c>
      <c r="C3" s="3" t="s">
        <v>264</v>
      </c>
      <c r="D3" s="3" t="s">
        <v>15</v>
      </c>
      <c r="E3" s="3" t="s">
        <v>16</v>
      </c>
      <c r="F3" s="24" t="s">
        <v>17</v>
      </c>
      <c r="G3" s="3" t="s">
        <v>324</v>
      </c>
      <c r="H3">
        <f>scoringR2!H9</f>
        <v>2.6</v>
      </c>
      <c r="I3">
        <f>scoringR2!I9</f>
        <v>3</v>
      </c>
      <c r="K3" s="17"/>
      <c r="M3" s="2"/>
      <c r="N3" s="2"/>
      <c r="O3" s="2"/>
      <c r="P3" s="2"/>
      <c r="Q3" s="2"/>
      <c r="R3" s="2"/>
      <c r="S3" s="2"/>
      <c r="T3" s="2"/>
      <c r="U3" s="2"/>
      <c r="V3" s="2"/>
      <c r="W3" s="2"/>
      <c r="X3" s="2"/>
      <c r="Y3" s="2"/>
      <c r="Z3" s="2"/>
      <c r="AA3" s="2"/>
    </row>
    <row r="4" spans="1:27" x14ac:dyDescent="0.2">
      <c r="A4" s="3" t="s">
        <v>21</v>
      </c>
      <c r="B4" s="3" t="s">
        <v>22</v>
      </c>
      <c r="C4" s="3" t="s">
        <v>262</v>
      </c>
      <c r="D4" s="3" t="s">
        <v>24</v>
      </c>
      <c r="E4" s="3" t="s">
        <v>25</v>
      </c>
      <c r="F4" s="4" t="s">
        <v>26</v>
      </c>
      <c r="G4" s="3" t="s">
        <v>324</v>
      </c>
      <c r="H4">
        <f>scoringR2!H10</f>
        <v>4.2</v>
      </c>
      <c r="I4">
        <f>scoringR2!I10</f>
        <v>4</v>
      </c>
    </row>
    <row r="5" spans="1:27" x14ac:dyDescent="0.2">
      <c r="A5" s="3" t="s">
        <v>33</v>
      </c>
      <c r="B5" s="3" t="s">
        <v>28</v>
      </c>
      <c r="C5" s="3" t="s">
        <v>34</v>
      </c>
      <c r="D5" s="3" t="s">
        <v>30</v>
      </c>
      <c r="E5" s="3" t="s">
        <v>31</v>
      </c>
      <c r="F5" s="3" t="s">
        <v>325</v>
      </c>
      <c r="G5" s="3" t="s">
        <v>324</v>
      </c>
      <c r="H5">
        <f>scoringR2!H11</f>
        <v>4.5999999999999996</v>
      </c>
      <c r="I5">
        <f>scoringR2!I11</f>
        <v>5</v>
      </c>
      <c r="K5" s="17"/>
      <c r="M5" s="2"/>
      <c r="N5" s="2"/>
      <c r="O5" s="2"/>
      <c r="P5" s="2"/>
      <c r="Q5" s="2"/>
      <c r="R5" s="2"/>
      <c r="S5" s="2"/>
      <c r="T5" s="2"/>
      <c r="U5" s="2"/>
      <c r="V5" s="2"/>
      <c r="W5" s="2"/>
      <c r="X5" s="2"/>
      <c r="Y5" s="2"/>
      <c r="Z5" s="2"/>
      <c r="AA5" s="2"/>
    </row>
    <row r="6" spans="1:27" x14ac:dyDescent="0.2">
      <c r="A6" s="3" t="s">
        <v>326</v>
      </c>
      <c r="B6" s="3" t="s">
        <v>13</v>
      </c>
      <c r="C6" s="3" t="s">
        <v>281</v>
      </c>
      <c r="D6" s="3" t="s">
        <v>15</v>
      </c>
      <c r="E6" s="3" t="s">
        <v>16</v>
      </c>
      <c r="F6" s="24" t="s">
        <v>17</v>
      </c>
      <c r="G6" s="3" t="s">
        <v>324</v>
      </c>
      <c r="H6">
        <f>scoringR2!H12</f>
        <v>3.2</v>
      </c>
      <c r="I6">
        <f>scoringR2!I12</f>
        <v>3</v>
      </c>
      <c r="K6" s="17"/>
      <c r="M6" s="2"/>
      <c r="N6" s="2"/>
      <c r="O6" s="2"/>
      <c r="P6" s="2"/>
      <c r="Q6" s="2"/>
      <c r="R6" s="2"/>
      <c r="S6" s="2"/>
      <c r="T6" s="2"/>
      <c r="U6" s="2"/>
      <c r="V6" s="2"/>
      <c r="W6" s="2"/>
      <c r="X6" s="2"/>
      <c r="Y6" s="2"/>
      <c r="Z6" s="2"/>
      <c r="AA6" s="2"/>
    </row>
    <row r="7" spans="1:27" x14ac:dyDescent="0.2">
      <c r="A7" s="3" t="s">
        <v>327</v>
      </c>
      <c r="B7" s="3" t="s">
        <v>314</v>
      </c>
      <c r="C7" s="3" t="s">
        <v>261</v>
      </c>
      <c r="D7" s="3" t="s">
        <v>314</v>
      </c>
      <c r="E7" s="3" t="s">
        <v>314</v>
      </c>
      <c r="F7" s="3" t="s">
        <v>314</v>
      </c>
      <c r="G7" s="3" t="s">
        <v>324</v>
      </c>
      <c r="H7">
        <f>scoringR2!H13</f>
        <v>4.5999999999999996</v>
      </c>
      <c r="I7">
        <f>scoringR2!I13</f>
        <v>5</v>
      </c>
      <c r="K7" s="17"/>
      <c r="M7" s="2"/>
      <c r="N7" s="2"/>
      <c r="O7" s="2"/>
      <c r="P7" s="2"/>
      <c r="Q7" s="2"/>
      <c r="R7" s="2"/>
      <c r="S7" s="2"/>
      <c r="T7" s="2"/>
      <c r="U7" s="2"/>
      <c r="V7" s="2"/>
      <c r="W7" s="2"/>
      <c r="X7" s="2"/>
      <c r="Y7" s="2"/>
      <c r="Z7" s="2"/>
      <c r="AA7" s="2"/>
    </row>
    <row r="9" spans="1:27" x14ac:dyDescent="0.2">
      <c r="A9" s="1"/>
      <c r="B9" s="1"/>
      <c r="C9" s="1"/>
      <c r="D9" s="1"/>
      <c r="E9" s="3"/>
      <c r="F9" s="3"/>
      <c r="G9" s="24"/>
      <c r="H9" s="3"/>
    </row>
    <row r="10" spans="1:27" x14ac:dyDescent="0.2">
      <c r="A10" s="1" t="s">
        <v>7</v>
      </c>
      <c r="B10" s="1"/>
      <c r="C10" s="2"/>
      <c r="D10" s="1"/>
      <c r="E10" s="3"/>
    </row>
    <row r="11" spans="1:27" x14ac:dyDescent="0.2">
      <c r="A11" s="1" t="s">
        <v>10</v>
      </c>
      <c r="B11" s="3" t="s">
        <v>355</v>
      </c>
      <c r="C11" s="2"/>
      <c r="D11" s="3"/>
      <c r="F11" s="3"/>
      <c r="G11" s="3"/>
      <c r="H11" s="3"/>
    </row>
    <row r="12" spans="1:27" x14ac:dyDescent="0.2">
      <c r="A12" s="11" t="s">
        <v>33</v>
      </c>
      <c r="B12" s="3">
        <v>4.5999999999999996</v>
      </c>
      <c r="C12" s="27"/>
      <c r="D12" s="3"/>
      <c r="F12" s="3"/>
      <c r="G12" s="24"/>
      <c r="H12" s="3"/>
    </row>
    <row r="13" spans="1:27" x14ac:dyDescent="0.2">
      <c r="A13" s="11" t="s">
        <v>327</v>
      </c>
      <c r="B13">
        <v>4.5999999999999996</v>
      </c>
      <c r="C13" s="27"/>
      <c r="D13" s="3"/>
      <c r="F13" s="3"/>
      <c r="G13" s="3"/>
      <c r="H13" s="3"/>
    </row>
    <row r="14" spans="1:27" x14ac:dyDescent="0.2">
      <c r="A14" s="11" t="s">
        <v>21</v>
      </c>
      <c r="B14">
        <v>4.2</v>
      </c>
      <c r="C14" s="27"/>
      <c r="D14" s="3"/>
    </row>
    <row r="15" spans="1:27" x14ac:dyDescent="0.2">
      <c r="A15" s="3" t="s">
        <v>12</v>
      </c>
      <c r="B15">
        <v>3.6</v>
      </c>
      <c r="C15" s="3"/>
      <c r="D15" s="3"/>
    </row>
    <row r="16" spans="1:27" x14ac:dyDescent="0.2">
      <c r="A16" s="3" t="s">
        <v>326</v>
      </c>
      <c r="B16">
        <v>3.2</v>
      </c>
      <c r="C16" s="3"/>
      <c r="D16" s="3"/>
    </row>
    <row r="17" spans="1:5" x14ac:dyDescent="0.2">
      <c r="A17" s="3" t="s">
        <v>19</v>
      </c>
      <c r="B17">
        <v>2.6</v>
      </c>
      <c r="C17" s="3"/>
      <c r="D17" s="3"/>
    </row>
    <row r="19" spans="1:5" x14ac:dyDescent="0.2">
      <c r="A19" s="2"/>
      <c r="B19" s="2"/>
      <c r="C19" s="2"/>
      <c r="D19" s="2"/>
    </row>
    <row r="20" spans="1:5" x14ac:dyDescent="0.2">
      <c r="A20" s="1" t="s">
        <v>10</v>
      </c>
      <c r="B20" s="3" t="s">
        <v>356</v>
      </c>
      <c r="C20" s="2"/>
      <c r="D20" s="3"/>
      <c r="E20" s="3"/>
    </row>
    <row r="21" spans="1:5" x14ac:dyDescent="0.2">
      <c r="A21" s="3" t="s">
        <v>33</v>
      </c>
      <c r="B21">
        <v>5</v>
      </c>
      <c r="C21" s="3"/>
      <c r="D21" s="3"/>
    </row>
    <row r="22" spans="1:5" x14ac:dyDescent="0.2">
      <c r="A22" s="3" t="s">
        <v>327</v>
      </c>
      <c r="B22">
        <v>5</v>
      </c>
      <c r="C22" s="3"/>
      <c r="D22" s="3"/>
    </row>
    <row r="23" spans="1:5" x14ac:dyDescent="0.2">
      <c r="A23" s="3" t="s">
        <v>21</v>
      </c>
      <c r="B23">
        <v>4</v>
      </c>
      <c r="C23" s="3"/>
      <c r="D23" s="3"/>
    </row>
    <row r="24" spans="1:5" x14ac:dyDescent="0.2">
      <c r="A24" s="3" t="s">
        <v>12</v>
      </c>
      <c r="B24">
        <v>3</v>
      </c>
      <c r="C24" s="3"/>
      <c r="D24" s="3"/>
    </row>
    <row r="25" spans="1:5" x14ac:dyDescent="0.2">
      <c r="A25" s="3" t="s">
        <v>19</v>
      </c>
      <c r="B25">
        <v>3</v>
      </c>
      <c r="C25" s="3"/>
      <c r="D25" s="3"/>
      <c r="E25" s="3"/>
    </row>
    <row r="26" spans="1:5" x14ac:dyDescent="0.2">
      <c r="A26" s="3" t="s">
        <v>326</v>
      </c>
      <c r="B26" s="2">
        <v>3</v>
      </c>
      <c r="C26" s="3"/>
      <c r="D26" s="3"/>
    </row>
    <row r="28" spans="1:5" x14ac:dyDescent="0.2">
      <c r="A28" s="3"/>
      <c r="B28" s="3"/>
      <c r="C28" s="3"/>
      <c r="D28" s="3"/>
    </row>
    <row r="29" spans="1:5" x14ac:dyDescent="0.2">
      <c r="A29" s="3"/>
      <c r="B29" s="3"/>
      <c r="C29" s="3"/>
      <c r="D29" s="3"/>
    </row>
    <row r="30" spans="1:5" x14ac:dyDescent="0.2">
      <c r="A30" s="3"/>
      <c r="B30" s="3"/>
      <c r="C30" s="3"/>
      <c r="D30" s="3"/>
    </row>
    <row r="31" spans="1:5" x14ac:dyDescent="0.2">
      <c r="A31" s="3"/>
      <c r="B31" s="3"/>
      <c r="C31" s="3"/>
      <c r="D31" s="3"/>
    </row>
    <row r="32" spans="1:5" x14ac:dyDescent="0.2">
      <c r="A32" s="3"/>
      <c r="B32" s="3"/>
      <c r="C32" s="3"/>
      <c r="D32" s="3"/>
    </row>
    <row r="33" spans="1:4" x14ac:dyDescent="0.2">
      <c r="A33" s="3"/>
      <c r="B33" s="3"/>
      <c r="C33" s="3"/>
      <c r="D33" s="3"/>
    </row>
    <row r="34" spans="1:4" x14ac:dyDescent="0.2">
      <c r="A34" s="3"/>
      <c r="B34" s="3"/>
      <c r="C34" s="2"/>
      <c r="D34" s="2"/>
    </row>
    <row r="35" spans="1:4" x14ac:dyDescent="0.2">
      <c r="A35" s="2"/>
      <c r="B35" s="2"/>
      <c r="C35" s="2"/>
      <c r="D35" s="2"/>
    </row>
    <row r="36" spans="1:4" x14ac:dyDescent="0.2">
      <c r="A36" s="1"/>
      <c r="B36" s="1"/>
      <c r="C36" s="2"/>
      <c r="D36" s="3"/>
    </row>
    <row r="37" spans="1:4" x14ac:dyDescent="0.2">
      <c r="A37" s="3"/>
      <c r="B37" s="3"/>
      <c r="C37" s="3"/>
      <c r="D37" s="3"/>
    </row>
    <row r="38" spans="1:4" x14ac:dyDescent="0.2">
      <c r="A38" s="3"/>
      <c r="B38" s="3"/>
      <c r="C38" s="3"/>
      <c r="D38" s="3"/>
    </row>
    <row r="39" spans="1:4" x14ac:dyDescent="0.2">
      <c r="A39" s="3"/>
      <c r="B39" s="3"/>
      <c r="C39" s="3"/>
      <c r="D39" s="3"/>
    </row>
    <row r="40" spans="1:4" x14ac:dyDescent="0.2">
      <c r="A40" s="3"/>
      <c r="B40" s="3"/>
      <c r="C40" s="3"/>
      <c r="D40" s="3"/>
    </row>
    <row r="41" spans="1:4" x14ac:dyDescent="0.2">
      <c r="A41" s="3"/>
      <c r="B41" s="3"/>
      <c r="C41" s="3"/>
      <c r="D41" s="3"/>
    </row>
    <row r="42" spans="1:4" x14ac:dyDescent="0.2">
      <c r="A42" s="3"/>
      <c r="B42" s="3"/>
      <c r="C42" s="3"/>
      <c r="D42" s="3"/>
    </row>
    <row r="43" spans="1:4" x14ac:dyDescent="0.2">
      <c r="A43" s="3"/>
      <c r="B43" s="3"/>
      <c r="C43" s="2"/>
      <c r="D43" s="3"/>
    </row>
    <row r="44" spans="1:4" x14ac:dyDescent="0.2">
      <c r="A44" s="3"/>
      <c r="B44" s="3"/>
      <c r="C44" s="2"/>
      <c r="D44" s="2"/>
    </row>
    <row r="45" spans="1:4" x14ac:dyDescent="0.2">
      <c r="A45" s="2"/>
      <c r="B45" s="2"/>
      <c r="C45" s="2"/>
      <c r="D45" s="2"/>
    </row>
    <row r="46" spans="1:4" x14ac:dyDescent="0.2">
      <c r="A46" s="2"/>
      <c r="B46" s="2"/>
      <c r="C46" s="2"/>
      <c r="D46" s="2"/>
    </row>
    <row r="47" spans="1:4" x14ac:dyDescent="0.2">
      <c r="A47" s="1"/>
      <c r="B47" s="1"/>
      <c r="C47" s="2"/>
      <c r="D47" s="1"/>
    </row>
    <row r="48" spans="1:4" x14ac:dyDescent="0.2">
      <c r="A48" s="1"/>
      <c r="B48" s="1"/>
      <c r="C48" s="2"/>
      <c r="D48" s="3"/>
    </row>
    <row r="49" spans="1:4" x14ac:dyDescent="0.2">
      <c r="A49" s="3"/>
      <c r="B49" s="3"/>
      <c r="C49" s="3"/>
      <c r="D49" s="3"/>
    </row>
    <row r="50" spans="1:4" x14ac:dyDescent="0.2">
      <c r="A50" s="3"/>
      <c r="B50" s="3"/>
      <c r="C50" s="3"/>
      <c r="D50" s="3"/>
    </row>
    <row r="51" spans="1:4" x14ac:dyDescent="0.2">
      <c r="A51" s="3"/>
      <c r="B51" s="3"/>
      <c r="C51" s="3"/>
      <c r="D51" s="3"/>
    </row>
    <row r="52" spans="1:4" x14ac:dyDescent="0.2">
      <c r="A52" s="3"/>
      <c r="B52" s="3"/>
      <c r="C52" s="17"/>
      <c r="D52" s="3"/>
    </row>
    <row r="53" spans="1:4" x14ac:dyDescent="0.2">
      <c r="A53" s="3"/>
      <c r="B53" s="3"/>
      <c r="C53" s="17"/>
      <c r="D53" s="17"/>
    </row>
    <row r="54" spans="1:4" x14ac:dyDescent="0.2">
      <c r="A54" s="2"/>
      <c r="B54" s="2"/>
      <c r="C54" s="2"/>
      <c r="D54" s="2"/>
    </row>
    <row r="55" spans="1:4" x14ac:dyDescent="0.2">
      <c r="A55" s="1"/>
      <c r="B55" s="1"/>
      <c r="C55" s="2"/>
      <c r="D55" s="3"/>
    </row>
    <row r="56" spans="1:4" x14ac:dyDescent="0.2">
      <c r="A56" s="3"/>
      <c r="B56" s="3"/>
      <c r="C56" s="3"/>
      <c r="D56" s="3"/>
    </row>
    <row r="57" spans="1:4" x14ac:dyDescent="0.2">
      <c r="A57" s="3"/>
      <c r="B57" s="3"/>
      <c r="C57" s="3"/>
      <c r="D57" s="3"/>
    </row>
    <row r="58" spans="1:4" x14ac:dyDescent="0.2">
      <c r="A58" s="3"/>
      <c r="B58" s="3"/>
      <c r="C58" s="3"/>
      <c r="D58" s="3"/>
    </row>
    <row r="59" spans="1:4" x14ac:dyDescent="0.2">
      <c r="A59" s="3"/>
      <c r="B59" s="3"/>
      <c r="C59" s="3"/>
      <c r="D59" s="3"/>
    </row>
    <row r="60" spans="1:4" x14ac:dyDescent="0.2">
      <c r="A60" s="3"/>
      <c r="B60" s="3"/>
      <c r="C60" s="3"/>
      <c r="D60" s="3"/>
    </row>
    <row r="61" spans="1:4" x14ac:dyDescent="0.2">
      <c r="A61" s="3"/>
      <c r="B61" s="3"/>
      <c r="C61" s="3"/>
      <c r="D61" s="3"/>
    </row>
    <row r="62" spans="1:4" x14ac:dyDescent="0.2">
      <c r="A62" s="3"/>
      <c r="B62" s="3"/>
      <c r="C62" s="3"/>
      <c r="D62" s="3"/>
    </row>
    <row r="63" spans="1:4" x14ac:dyDescent="0.2">
      <c r="A63" s="3"/>
      <c r="B63" s="3"/>
      <c r="C63" s="3"/>
      <c r="D63" s="3"/>
    </row>
    <row r="64" spans="1:4" x14ac:dyDescent="0.2">
      <c r="A64" s="3"/>
      <c r="B64" s="3"/>
      <c r="C64" s="3"/>
      <c r="D64" s="3"/>
    </row>
    <row r="65" spans="1:4" x14ac:dyDescent="0.2">
      <c r="A65" s="3"/>
      <c r="B65" s="3"/>
      <c r="C65" s="3"/>
      <c r="D65" s="3"/>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row r="101" spans="1:4" x14ac:dyDescent="0.2">
      <c r="A101" s="2"/>
      <c r="B101" s="2"/>
      <c r="C101" s="2"/>
      <c r="D101" s="2"/>
    </row>
    <row r="102" spans="1:4" x14ac:dyDescent="0.2">
      <c r="A102" s="2"/>
      <c r="B102" s="2"/>
      <c r="C102" s="2"/>
      <c r="D102" s="2"/>
    </row>
    <row r="103" spans="1:4" x14ac:dyDescent="0.2">
      <c r="A103" s="2"/>
      <c r="B103" s="2"/>
      <c r="C103" s="2"/>
      <c r="D103" s="2"/>
    </row>
    <row r="104" spans="1:4" x14ac:dyDescent="0.2">
      <c r="A104" s="2"/>
      <c r="B104" s="2"/>
      <c r="C104" s="2"/>
      <c r="D104" s="2"/>
    </row>
    <row r="105" spans="1:4" x14ac:dyDescent="0.2">
      <c r="A105" s="2"/>
      <c r="B105" s="2"/>
      <c r="C105" s="2"/>
      <c r="D105" s="2"/>
    </row>
    <row r="106" spans="1:4" x14ac:dyDescent="0.2">
      <c r="A106" s="2"/>
      <c r="B106" s="2"/>
      <c r="C106" s="2"/>
      <c r="D106" s="2"/>
    </row>
    <row r="107" spans="1:4" x14ac:dyDescent="0.2">
      <c r="A107" s="2"/>
      <c r="B107" s="2"/>
      <c r="C107" s="2"/>
      <c r="D107" s="2"/>
    </row>
    <row r="108" spans="1:4" x14ac:dyDescent="0.2">
      <c r="A108" s="2"/>
      <c r="B108" s="2"/>
      <c r="C108" s="2"/>
      <c r="D108" s="2"/>
    </row>
    <row r="109" spans="1:4" x14ac:dyDescent="0.2">
      <c r="A109" s="2"/>
      <c r="B109" s="2"/>
      <c r="C109" s="2"/>
      <c r="D109" s="2"/>
    </row>
    <row r="110" spans="1:4" x14ac:dyDescent="0.2">
      <c r="A110" s="2"/>
      <c r="B110" s="2"/>
      <c r="C110" s="2"/>
      <c r="D110" s="2"/>
    </row>
    <row r="111" spans="1:4" x14ac:dyDescent="0.2">
      <c r="A111" s="2"/>
      <c r="B111" s="2"/>
      <c r="C111" s="2"/>
      <c r="D111" s="2"/>
    </row>
    <row r="112" spans="1:4" x14ac:dyDescent="0.2">
      <c r="A112" s="2"/>
      <c r="B112" s="2"/>
      <c r="C112" s="2"/>
      <c r="D112" s="2"/>
    </row>
    <row r="113" spans="1:4" x14ac:dyDescent="0.2">
      <c r="A113" s="2"/>
      <c r="B113" s="2"/>
      <c r="C113" s="2"/>
      <c r="D113" s="2"/>
    </row>
    <row r="114" spans="1:4" x14ac:dyDescent="0.2">
      <c r="A114" s="2"/>
      <c r="B114" s="2"/>
      <c r="C114" s="2"/>
      <c r="D114" s="2"/>
    </row>
    <row r="115" spans="1:4" x14ac:dyDescent="0.2">
      <c r="A115" s="2"/>
      <c r="B115" s="2"/>
      <c r="C115" s="2"/>
      <c r="D115" s="2"/>
    </row>
    <row r="116" spans="1:4" x14ac:dyDescent="0.2">
      <c r="A116" s="2"/>
      <c r="B116" s="2"/>
      <c r="C116" s="2"/>
      <c r="D116" s="2"/>
    </row>
    <row r="117" spans="1:4" x14ac:dyDescent="0.2">
      <c r="A117" s="2"/>
      <c r="B117" s="2"/>
      <c r="C117" s="2"/>
      <c r="D117" s="2"/>
    </row>
    <row r="118" spans="1:4" x14ac:dyDescent="0.2">
      <c r="A118" s="2"/>
      <c r="B118" s="2"/>
      <c r="C118" s="2"/>
      <c r="D118" s="2"/>
    </row>
    <row r="119" spans="1:4" x14ac:dyDescent="0.2">
      <c r="A119" s="2"/>
      <c r="B119" s="2"/>
      <c r="C119" s="2"/>
      <c r="D119" s="2"/>
    </row>
    <row r="120" spans="1:4" x14ac:dyDescent="0.2">
      <c r="A120" s="2"/>
      <c r="B120" s="2"/>
      <c r="C120" s="2"/>
      <c r="D120" s="2"/>
    </row>
    <row r="121" spans="1:4" x14ac:dyDescent="0.2">
      <c r="A121" s="2"/>
      <c r="B121" s="2"/>
      <c r="C121" s="2"/>
      <c r="D121" s="2"/>
    </row>
    <row r="122" spans="1:4" x14ac:dyDescent="0.2">
      <c r="A122" s="2"/>
      <c r="B122" s="2"/>
      <c r="C122" s="2"/>
      <c r="D122" s="2"/>
    </row>
    <row r="123" spans="1:4" x14ac:dyDescent="0.2">
      <c r="A123" s="2"/>
      <c r="B123" s="2"/>
      <c r="C123" s="2"/>
      <c r="D123" s="2"/>
    </row>
    <row r="124" spans="1:4" x14ac:dyDescent="0.2">
      <c r="A124" s="2"/>
      <c r="B124" s="2"/>
      <c r="C124" s="2"/>
      <c r="D124" s="2"/>
    </row>
    <row r="125" spans="1:4" x14ac:dyDescent="0.2">
      <c r="A125" s="2"/>
      <c r="B125" s="2"/>
      <c r="C125" s="2"/>
      <c r="D125" s="2"/>
    </row>
    <row r="126" spans="1:4" x14ac:dyDescent="0.2">
      <c r="A126" s="2"/>
      <c r="B126" s="2"/>
      <c r="C126" s="2"/>
      <c r="D126" s="2"/>
    </row>
    <row r="127" spans="1:4" x14ac:dyDescent="0.2">
      <c r="A127" s="2"/>
      <c r="B127" s="2"/>
      <c r="C127" s="2"/>
      <c r="D127" s="2"/>
    </row>
    <row r="128" spans="1:4" x14ac:dyDescent="0.2">
      <c r="A128" s="2"/>
      <c r="B128" s="2"/>
      <c r="C128" s="2"/>
      <c r="D128" s="2"/>
    </row>
    <row r="129" spans="1:4" x14ac:dyDescent="0.2">
      <c r="A129" s="2"/>
      <c r="B129" s="2"/>
      <c r="C129" s="2"/>
      <c r="D129" s="2"/>
    </row>
    <row r="130" spans="1:4" x14ac:dyDescent="0.2">
      <c r="A130" s="2"/>
      <c r="B130" s="2"/>
      <c r="C130" s="2"/>
      <c r="D130" s="2"/>
    </row>
    <row r="131" spans="1:4" x14ac:dyDescent="0.2">
      <c r="A131" s="2"/>
      <c r="B131" s="2"/>
      <c r="C131" s="2"/>
      <c r="D131" s="2"/>
    </row>
    <row r="132" spans="1:4" x14ac:dyDescent="0.2">
      <c r="A132" s="2"/>
      <c r="B132" s="2"/>
      <c r="C132" s="2"/>
      <c r="D132" s="2"/>
    </row>
    <row r="133" spans="1:4" x14ac:dyDescent="0.2">
      <c r="A133" s="2"/>
      <c r="B133" s="2"/>
      <c r="C133" s="2"/>
      <c r="D133" s="2"/>
    </row>
    <row r="134" spans="1:4" x14ac:dyDescent="0.2">
      <c r="A134" s="2"/>
      <c r="B134" s="2"/>
      <c r="C134" s="2"/>
      <c r="D134" s="2"/>
    </row>
    <row r="135" spans="1:4" x14ac:dyDescent="0.2">
      <c r="A135" s="2"/>
      <c r="B135" s="2"/>
      <c r="C135" s="2"/>
      <c r="D135" s="2"/>
    </row>
    <row r="136" spans="1:4" x14ac:dyDescent="0.2">
      <c r="A136" s="2"/>
      <c r="B136" s="2"/>
      <c r="C136" s="2"/>
      <c r="D136" s="2"/>
    </row>
    <row r="137" spans="1:4" x14ac:dyDescent="0.2">
      <c r="A137" s="2"/>
      <c r="B137" s="2"/>
      <c r="C137" s="2"/>
      <c r="D137" s="2"/>
    </row>
    <row r="138" spans="1:4" x14ac:dyDescent="0.2">
      <c r="A138" s="2"/>
      <c r="B138" s="2"/>
      <c r="C138" s="2"/>
      <c r="D138" s="2"/>
    </row>
    <row r="139" spans="1:4" x14ac:dyDescent="0.2">
      <c r="A139" s="2"/>
      <c r="B139" s="2"/>
      <c r="C139" s="2"/>
      <c r="D139" s="2"/>
    </row>
    <row r="140" spans="1:4" x14ac:dyDescent="0.2">
      <c r="A140" s="2"/>
      <c r="B140" s="2"/>
      <c r="C140" s="2"/>
      <c r="D140" s="2"/>
    </row>
    <row r="141" spans="1:4" x14ac:dyDescent="0.2">
      <c r="A141" s="2"/>
      <c r="B141" s="2"/>
      <c r="C141" s="2"/>
      <c r="D141" s="2"/>
    </row>
    <row r="142" spans="1:4" x14ac:dyDescent="0.2">
      <c r="A142" s="2"/>
      <c r="B142" s="2"/>
      <c r="C142" s="2"/>
      <c r="D142" s="2"/>
    </row>
    <row r="143" spans="1:4" x14ac:dyDescent="0.2">
      <c r="A143" s="2"/>
      <c r="B143" s="2"/>
      <c r="C143" s="2"/>
      <c r="D143" s="2"/>
    </row>
    <row r="144" spans="1:4" x14ac:dyDescent="0.2">
      <c r="A144" s="2"/>
      <c r="B144" s="2"/>
      <c r="C144" s="2"/>
      <c r="D144" s="2"/>
    </row>
    <row r="145" spans="1:4" x14ac:dyDescent="0.2">
      <c r="A145" s="2"/>
      <c r="B145" s="2"/>
      <c r="C145" s="2"/>
      <c r="D145" s="2"/>
    </row>
    <row r="146" spans="1:4" x14ac:dyDescent="0.2">
      <c r="A146" s="2"/>
      <c r="B146" s="2"/>
      <c r="C146" s="2"/>
      <c r="D146" s="2"/>
    </row>
    <row r="147" spans="1:4" x14ac:dyDescent="0.2">
      <c r="A147" s="2"/>
      <c r="B147" s="2"/>
      <c r="C147" s="2"/>
      <c r="D147" s="2"/>
    </row>
    <row r="148" spans="1:4" x14ac:dyDescent="0.2">
      <c r="A148" s="2"/>
      <c r="B148" s="2"/>
      <c r="C148" s="2"/>
      <c r="D148" s="2"/>
    </row>
    <row r="149" spans="1:4" x14ac:dyDescent="0.2">
      <c r="A149" s="2"/>
      <c r="B149" s="2"/>
      <c r="C149" s="2"/>
      <c r="D149" s="2"/>
    </row>
    <row r="150" spans="1:4" x14ac:dyDescent="0.2">
      <c r="A150" s="2"/>
      <c r="B150" s="2"/>
      <c r="C150" s="2"/>
      <c r="D150" s="2"/>
    </row>
    <row r="151" spans="1:4" x14ac:dyDescent="0.2">
      <c r="A151" s="2"/>
      <c r="B151" s="2"/>
      <c r="C151" s="2"/>
      <c r="D151" s="2"/>
    </row>
    <row r="152" spans="1:4" x14ac:dyDescent="0.2">
      <c r="A152" s="2"/>
      <c r="B152" s="2"/>
      <c r="C152" s="2"/>
      <c r="D152" s="2"/>
    </row>
    <row r="153" spans="1:4" x14ac:dyDescent="0.2">
      <c r="A153" s="2"/>
      <c r="B153" s="2"/>
      <c r="C153" s="2"/>
      <c r="D153" s="2"/>
    </row>
    <row r="154" spans="1:4" x14ac:dyDescent="0.2">
      <c r="A154" s="2"/>
      <c r="B154" s="2"/>
      <c r="C154" s="2"/>
      <c r="D154" s="2"/>
    </row>
    <row r="155" spans="1:4" x14ac:dyDescent="0.2">
      <c r="A155" s="2"/>
      <c r="B155" s="2"/>
      <c r="C155" s="2"/>
      <c r="D155" s="2"/>
    </row>
    <row r="156" spans="1:4" x14ac:dyDescent="0.2">
      <c r="A156" s="2"/>
      <c r="B156" s="2"/>
      <c r="C156" s="2"/>
      <c r="D156" s="2"/>
    </row>
    <row r="157" spans="1:4" x14ac:dyDescent="0.2">
      <c r="A157" s="2"/>
      <c r="B157" s="2"/>
      <c r="C157" s="2"/>
      <c r="D157" s="2"/>
    </row>
    <row r="158" spans="1:4" x14ac:dyDescent="0.2">
      <c r="A158" s="2"/>
      <c r="B158" s="2"/>
      <c r="C158" s="2"/>
      <c r="D158" s="2"/>
    </row>
    <row r="159" spans="1:4" x14ac:dyDescent="0.2">
      <c r="A159" s="2"/>
      <c r="B159" s="2"/>
      <c r="C159" s="2"/>
      <c r="D159" s="2"/>
    </row>
    <row r="160" spans="1:4" x14ac:dyDescent="0.2">
      <c r="A160" s="2"/>
      <c r="B160" s="2"/>
      <c r="C160" s="2"/>
      <c r="D160" s="2"/>
    </row>
    <row r="161" spans="1:4" x14ac:dyDescent="0.2">
      <c r="A161" s="2"/>
      <c r="B161" s="2"/>
      <c r="C161" s="2"/>
      <c r="D161" s="2"/>
    </row>
    <row r="162" spans="1:4" x14ac:dyDescent="0.2">
      <c r="A162" s="2"/>
      <c r="B162" s="2"/>
      <c r="C162" s="2"/>
      <c r="D162" s="2"/>
    </row>
    <row r="163" spans="1:4" x14ac:dyDescent="0.2">
      <c r="A163" s="2"/>
      <c r="B163" s="2"/>
      <c r="C163" s="2"/>
      <c r="D163" s="2"/>
    </row>
    <row r="164" spans="1:4" x14ac:dyDescent="0.2">
      <c r="A164" s="2"/>
      <c r="B164" s="2"/>
      <c r="C164" s="2"/>
      <c r="D164" s="2"/>
    </row>
    <row r="165" spans="1:4" x14ac:dyDescent="0.2">
      <c r="A165" s="2"/>
      <c r="B165" s="2"/>
      <c r="C165" s="2"/>
      <c r="D165" s="2"/>
    </row>
    <row r="166" spans="1:4" x14ac:dyDescent="0.2">
      <c r="A166" s="2"/>
      <c r="B166" s="2"/>
      <c r="C166" s="2"/>
      <c r="D166" s="2"/>
    </row>
    <row r="167" spans="1:4" x14ac:dyDescent="0.2">
      <c r="A167" s="2"/>
      <c r="B167" s="2"/>
      <c r="C167" s="2"/>
      <c r="D167" s="2"/>
    </row>
    <row r="168" spans="1:4" x14ac:dyDescent="0.2">
      <c r="A168" s="2"/>
      <c r="B168" s="2"/>
      <c r="C168" s="2"/>
      <c r="D168" s="2"/>
    </row>
    <row r="169" spans="1:4" x14ac:dyDescent="0.2">
      <c r="A169" s="2"/>
      <c r="B169" s="2"/>
      <c r="C169" s="2"/>
      <c r="D169" s="2"/>
    </row>
    <row r="170" spans="1:4" x14ac:dyDescent="0.2">
      <c r="A170" s="2"/>
      <c r="B170" s="2"/>
      <c r="C170" s="2"/>
      <c r="D170" s="2"/>
    </row>
    <row r="171" spans="1:4" x14ac:dyDescent="0.2">
      <c r="A171" s="2"/>
      <c r="B171" s="2"/>
      <c r="C171" s="2"/>
      <c r="D171" s="2"/>
    </row>
    <row r="172" spans="1:4" x14ac:dyDescent="0.2">
      <c r="A172" s="2"/>
      <c r="B172" s="2"/>
      <c r="C172" s="2"/>
      <c r="D172" s="2"/>
    </row>
    <row r="173" spans="1:4" x14ac:dyDescent="0.2">
      <c r="A173" s="2"/>
      <c r="B173" s="2"/>
      <c r="C173" s="2"/>
      <c r="D173" s="2"/>
    </row>
    <row r="174" spans="1:4" x14ac:dyDescent="0.2">
      <c r="A174" s="2"/>
      <c r="B174" s="2"/>
      <c r="C174" s="2"/>
      <c r="D174" s="2"/>
    </row>
    <row r="175" spans="1:4" x14ac:dyDescent="0.2">
      <c r="A175" s="2"/>
      <c r="B175" s="2"/>
      <c r="C175" s="2"/>
      <c r="D175" s="2"/>
    </row>
    <row r="176" spans="1:4" x14ac:dyDescent="0.2">
      <c r="A176" s="2"/>
      <c r="B176" s="2"/>
      <c r="C176" s="2"/>
      <c r="D176" s="2"/>
    </row>
    <row r="177" spans="1:4" x14ac:dyDescent="0.2">
      <c r="A177" s="2"/>
      <c r="B177" s="2"/>
      <c r="C177" s="2"/>
      <c r="D177" s="2"/>
    </row>
    <row r="178" spans="1:4" x14ac:dyDescent="0.2">
      <c r="A178" s="2"/>
      <c r="B178" s="2"/>
      <c r="C178" s="2"/>
      <c r="D178" s="2"/>
    </row>
    <row r="179" spans="1:4" x14ac:dyDescent="0.2">
      <c r="A179" s="2"/>
      <c r="B179" s="2"/>
      <c r="C179" s="2"/>
      <c r="D179" s="2"/>
    </row>
    <row r="180" spans="1:4" x14ac:dyDescent="0.2">
      <c r="A180" s="2"/>
      <c r="B180" s="2"/>
      <c r="C180" s="2"/>
      <c r="D180" s="2"/>
    </row>
    <row r="181" spans="1:4" x14ac:dyDescent="0.2">
      <c r="A181" s="2"/>
      <c r="B181" s="2"/>
      <c r="C181" s="2"/>
      <c r="D181" s="2"/>
    </row>
    <row r="182" spans="1:4" x14ac:dyDescent="0.2">
      <c r="A182" s="2"/>
      <c r="B182" s="2"/>
      <c r="C182" s="2"/>
      <c r="D182" s="2"/>
    </row>
    <row r="183" spans="1:4" x14ac:dyDescent="0.2">
      <c r="A183" s="2"/>
      <c r="B183" s="2"/>
      <c r="C183" s="2"/>
      <c r="D183" s="2"/>
    </row>
    <row r="184" spans="1:4" x14ac:dyDescent="0.2">
      <c r="A184" s="2"/>
      <c r="B184" s="2"/>
      <c r="C184" s="2"/>
      <c r="D184" s="2"/>
    </row>
    <row r="185" spans="1:4" x14ac:dyDescent="0.2">
      <c r="A185" s="2"/>
      <c r="B185" s="2"/>
      <c r="C185" s="2"/>
      <c r="D185" s="2"/>
    </row>
    <row r="186" spans="1:4" x14ac:dyDescent="0.2">
      <c r="A186" s="2"/>
      <c r="B186" s="2"/>
      <c r="C186" s="2"/>
      <c r="D186" s="2"/>
    </row>
    <row r="187" spans="1:4" x14ac:dyDescent="0.2">
      <c r="A187" s="2"/>
      <c r="B187" s="2"/>
      <c r="C187" s="2"/>
      <c r="D187" s="2"/>
    </row>
    <row r="188" spans="1:4" x14ac:dyDescent="0.2">
      <c r="A188" s="2"/>
      <c r="B188" s="2"/>
      <c r="C188" s="2"/>
      <c r="D188" s="2"/>
    </row>
    <row r="189" spans="1:4" x14ac:dyDescent="0.2">
      <c r="A189" s="2"/>
      <c r="B189" s="2"/>
      <c r="C189" s="2"/>
      <c r="D189" s="2"/>
    </row>
    <row r="190" spans="1:4" x14ac:dyDescent="0.2">
      <c r="A190" s="2"/>
      <c r="B190" s="2"/>
      <c r="C190" s="2"/>
      <c r="D190" s="2"/>
    </row>
    <row r="191" spans="1:4" x14ac:dyDescent="0.2">
      <c r="A191" s="2"/>
      <c r="B191" s="2"/>
      <c r="C191" s="2"/>
      <c r="D191" s="2"/>
    </row>
    <row r="192" spans="1:4" x14ac:dyDescent="0.2">
      <c r="A192" s="2"/>
      <c r="B192" s="2"/>
      <c r="C192" s="2"/>
      <c r="D192" s="2"/>
    </row>
    <row r="193" spans="1:4" x14ac:dyDescent="0.2">
      <c r="A193" s="2"/>
      <c r="B193" s="2"/>
      <c r="C193" s="2"/>
      <c r="D193" s="2"/>
    </row>
    <row r="194" spans="1:4" x14ac:dyDescent="0.2">
      <c r="A194" s="2"/>
      <c r="B194" s="2"/>
      <c r="C194" s="2"/>
      <c r="D194" s="2"/>
    </row>
    <row r="195" spans="1:4" x14ac:dyDescent="0.2">
      <c r="A195" s="2"/>
      <c r="B195" s="2"/>
      <c r="C195" s="2"/>
      <c r="D195" s="2"/>
    </row>
    <row r="196" spans="1:4" x14ac:dyDescent="0.2">
      <c r="A196" s="2"/>
      <c r="B196" s="2"/>
      <c r="C196" s="2"/>
      <c r="D196" s="2"/>
    </row>
    <row r="197" spans="1:4" x14ac:dyDescent="0.2">
      <c r="A197" s="2"/>
      <c r="B197" s="2"/>
      <c r="C197" s="2"/>
      <c r="D197" s="2"/>
    </row>
    <row r="198" spans="1:4" x14ac:dyDescent="0.2">
      <c r="A198" s="2"/>
      <c r="B198" s="2"/>
      <c r="C198" s="2"/>
      <c r="D198" s="2"/>
    </row>
    <row r="199" spans="1:4" x14ac:dyDescent="0.2">
      <c r="A199" s="2"/>
      <c r="B199" s="2"/>
      <c r="C199" s="2"/>
      <c r="D199" s="2"/>
    </row>
    <row r="200" spans="1:4" x14ac:dyDescent="0.2">
      <c r="A200" s="2"/>
      <c r="B200" s="2"/>
      <c r="C200" s="2"/>
      <c r="D200" s="2"/>
    </row>
    <row r="201" spans="1:4" x14ac:dyDescent="0.2">
      <c r="A201" s="2"/>
      <c r="B201" s="2"/>
      <c r="C201" s="2"/>
      <c r="D201" s="2"/>
    </row>
    <row r="202" spans="1:4" x14ac:dyDescent="0.2">
      <c r="A202" s="2"/>
      <c r="B202" s="2"/>
      <c r="C202" s="2"/>
      <c r="D202" s="2"/>
    </row>
    <row r="203" spans="1:4" x14ac:dyDescent="0.2">
      <c r="A203" s="2"/>
      <c r="B203" s="2"/>
      <c r="C203" s="2"/>
      <c r="D203" s="2"/>
    </row>
    <row r="204" spans="1:4" x14ac:dyDescent="0.2">
      <c r="A204" s="2"/>
      <c r="B204" s="2"/>
      <c r="C204" s="2"/>
      <c r="D204" s="2"/>
    </row>
    <row r="205" spans="1:4" x14ac:dyDescent="0.2">
      <c r="A205" s="2"/>
      <c r="B205" s="2"/>
      <c r="C205" s="2"/>
      <c r="D205" s="2"/>
    </row>
    <row r="206" spans="1:4" x14ac:dyDescent="0.2">
      <c r="A206" s="2"/>
      <c r="B206" s="2"/>
      <c r="C206" s="2"/>
      <c r="D206" s="2"/>
    </row>
    <row r="207" spans="1:4" x14ac:dyDescent="0.2">
      <c r="A207" s="2"/>
      <c r="B207" s="2"/>
      <c r="C207" s="2"/>
      <c r="D207" s="2"/>
    </row>
    <row r="208" spans="1:4" x14ac:dyDescent="0.2">
      <c r="A208" s="2"/>
      <c r="B208" s="2"/>
      <c r="C208" s="2"/>
      <c r="D208" s="2"/>
    </row>
    <row r="209" spans="1:4" x14ac:dyDescent="0.2">
      <c r="A209" s="2"/>
      <c r="B209" s="2"/>
      <c r="C209" s="2"/>
      <c r="D209" s="2"/>
    </row>
    <row r="210" spans="1:4" x14ac:dyDescent="0.2">
      <c r="A210" s="2"/>
      <c r="B210" s="2"/>
      <c r="C210" s="2"/>
      <c r="D210" s="2"/>
    </row>
    <row r="211" spans="1:4" x14ac:dyDescent="0.2">
      <c r="A211" s="2"/>
      <c r="B211" s="2"/>
      <c r="C211" s="2"/>
      <c r="D211" s="2"/>
    </row>
    <row r="212" spans="1:4" x14ac:dyDescent="0.2">
      <c r="A212" s="2"/>
      <c r="B212" s="2"/>
      <c r="C212" s="2"/>
      <c r="D212" s="2"/>
    </row>
    <row r="213" spans="1:4" x14ac:dyDescent="0.2">
      <c r="A213" s="2"/>
      <c r="B213" s="2"/>
      <c r="C213" s="2"/>
      <c r="D213" s="2"/>
    </row>
    <row r="214" spans="1:4" x14ac:dyDescent="0.2">
      <c r="A214" s="2"/>
      <c r="B214" s="2"/>
      <c r="C214" s="2"/>
      <c r="D214" s="2"/>
    </row>
    <row r="215" spans="1:4" x14ac:dyDescent="0.2">
      <c r="A215" s="2"/>
      <c r="B215" s="2"/>
      <c r="C215" s="2"/>
      <c r="D215" s="2"/>
    </row>
    <row r="216" spans="1:4" x14ac:dyDescent="0.2">
      <c r="A216" s="2"/>
      <c r="B216" s="2"/>
      <c r="C216" s="2"/>
      <c r="D216" s="2"/>
    </row>
    <row r="217" spans="1:4" x14ac:dyDescent="0.2">
      <c r="A217" s="2"/>
      <c r="B217" s="2"/>
      <c r="C217" s="2"/>
      <c r="D217" s="2"/>
    </row>
    <row r="218" spans="1:4" x14ac:dyDescent="0.2">
      <c r="A218" s="2"/>
      <c r="B218" s="2"/>
      <c r="C218" s="2"/>
      <c r="D218" s="2"/>
    </row>
    <row r="219" spans="1:4" x14ac:dyDescent="0.2">
      <c r="A219" s="2"/>
      <c r="B219" s="2"/>
      <c r="C219" s="2"/>
      <c r="D219" s="2"/>
    </row>
    <row r="220" spans="1:4" x14ac:dyDescent="0.2">
      <c r="A220" s="2"/>
      <c r="B220" s="2"/>
      <c r="C220" s="2"/>
      <c r="D220" s="2"/>
    </row>
    <row r="221" spans="1:4" x14ac:dyDescent="0.2">
      <c r="A221" s="2"/>
      <c r="B221" s="2"/>
      <c r="C221" s="2"/>
      <c r="D221" s="2"/>
    </row>
    <row r="222" spans="1:4" x14ac:dyDescent="0.2">
      <c r="A222" s="2"/>
      <c r="B222" s="2"/>
      <c r="C222" s="2"/>
      <c r="D222" s="2"/>
    </row>
    <row r="223" spans="1:4" x14ac:dyDescent="0.2">
      <c r="A223" s="2"/>
      <c r="B223" s="2"/>
      <c r="C223" s="2"/>
      <c r="D223" s="2"/>
    </row>
    <row r="224" spans="1:4" x14ac:dyDescent="0.2">
      <c r="A224" s="2"/>
      <c r="B224" s="2"/>
      <c r="C224" s="2"/>
      <c r="D224" s="2"/>
    </row>
    <row r="225" spans="1:4" x14ac:dyDescent="0.2">
      <c r="A225" s="2"/>
      <c r="B225" s="2"/>
      <c r="C225" s="2"/>
      <c r="D225" s="2"/>
    </row>
    <row r="226" spans="1:4" x14ac:dyDescent="0.2">
      <c r="A226" s="2"/>
      <c r="B226" s="2"/>
      <c r="C226" s="2"/>
      <c r="D226" s="2"/>
    </row>
    <row r="227" spans="1:4" x14ac:dyDescent="0.2">
      <c r="A227" s="2"/>
      <c r="B227" s="2"/>
      <c r="C227" s="2"/>
      <c r="D227" s="2"/>
    </row>
    <row r="228" spans="1:4" x14ac:dyDescent="0.2">
      <c r="A228" s="2"/>
      <c r="B228" s="2"/>
      <c r="C228" s="2"/>
      <c r="D228" s="2"/>
    </row>
    <row r="229" spans="1:4" x14ac:dyDescent="0.2">
      <c r="A229" s="2"/>
      <c r="B229" s="2"/>
      <c r="C229" s="2"/>
      <c r="D229" s="2"/>
    </row>
    <row r="230" spans="1:4" x14ac:dyDescent="0.2">
      <c r="A230" s="2"/>
      <c r="B230" s="2"/>
      <c r="C230" s="2"/>
      <c r="D230" s="2"/>
    </row>
    <row r="231" spans="1:4" x14ac:dyDescent="0.2">
      <c r="A231" s="2"/>
      <c r="B231" s="2"/>
      <c r="C231" s="2"/>
      <c r="D231" s="2"/>
    </row>
    <row r="232" spans="1:4" x14ac:dyDescent="0.2">
      <c r="A232" s="2"/>
      <c r="B232" s="2"/>
      <c r="C232" s="2"/>
      <c r="D232" s="2"/>
    </row>
    <row r="233" spans="1:4" x14ac:dyDescent="0.2">
      <c r="A233" s="2"/>
      <c r="B233" s="2"/>
      <c r="C233" s="2"/>
      <c r="D233" s="2"/>
    </row>
    <row r="234" spans="1:4" x14ac:dyDescent="0.2">
      <c r="A234" s="2"/>
      <c r="B234" s="2"/>
      <c r="C234" s="2"/>
      <c r="D234" s="2"/>
    </row>
    <row r="235" spans="1:4" x14ac:dyDescent="0.2">
      <c r="A235" s="2"/>
      <c r="B235" s="2"/>
      <c r="C235" s="2"/>
      <c r="D235" s="2"/>
    </row>
    <row r="236" spans="1:4" x14ac:dyDescent="0.2">
      <c r="A236" s="2"/>
      <c r="B236" s="2"/>
      <c r="C236" s="2"/>
      <c r="D236" s="2"/>
    </row>
    <row r="237" spans="1:4" x14ac:dyDescent="0.2">
      <c r="A237" s="2"/>
      <c r="B237" s="2"/>
      <c r="C237" s="2"/>
      <c r="D237" s="2"/>
    </row>
    <row r="238" spans="1:4" x14ac:dyDescent="0.2">
      <c r="A238" s="2"/>
      <c r="B238" s="2"/>
      <c r="C238" s="2"/>
      <c r="D238" s="2"/>
    </row>
    <row r="239" spans="1:4" x14ac:dyDescent="0.2">
      <c r="A239" s="2"/>
      <c r="B239" s="2"/>
      <c r="C239" s="2"/>
      <c r="D239" s="2"/>
    </row>
    <row r="240" spans="1:4" x14ac:dyDescent="0.2">
      <c r="A240" s="2"/>
      <c r="B240" s="2"/>
      <c r="C240" s="2"/>
      <c r="D240" s="2"/>
    </row>
    <row r="241" spans="1:4" x14ac:dyDescent="0.2">
      <c r="A241" s="2"/>
      <c r="B241" s="2"/>
      <c r="C241" s="2"/>
      <c r="D241" s="2"/>
    </row>
    <row r="242" spans="1:4" x14ac:dyDescent="0.2">
      <c r="A242" s="2"/>
      <c r="B242" s="2"/>
      <c r="C242" s="2"/>
      <c r="D242" s="2"/>
    </row>
    <row r="243" spans="1:4" x14ac:dyDescent="0.2">
      <c r="A243" s="2"/>
      <c r="B243" s="2"/>
      <c r="C243" s="2"/>
      <c r="D243" s="2"/>
    </row>
    <row r="244" spans="1:4" x14ac:dyDescent="0.2">
      <c r="A244" s="2"/>
      <c r="B244" s="2"/>
      <c r="C244" s="2"/>
      <c r="D244" s="2"/>
    </row>
    <row r="245" spans="1:4" x14ac:dyDescent="0.2">
      <c r="A245" s="2"/>
      <c r="B245" s="2"/>
      <c r="C245" s="2"/>
      <c r="D245" s="2"/>
    </row>
    <row r="246" spans="1:4" x14ac:dyDescent="0.2">
      <c r="A246" s="2"/>
      <c r="B246" s="2"/>
      <c r="C246" s="2"/>
      <c r="D246" s="2"/>
    </row>
    <row r="247" spans="1:4" x14ac:dyDescent="0.2">
      <c r="A247" s="2"/>
      <c r="B247" s="2"/>
      <c r="C247" s="2"/>
      <c r="D247" s="2"/>
    </row>
    <row r="248" spans="1:4" x14ac:dyDescent="0.2">
      <c r="A248" s="2"/>
      <c r="B248" s="2"/>
      <c r="C248" s="2"/>
      <c r="D248" s="2"/>
    </row>
    <row r="249" spans="1:4" x14ac:dyDescent="0.2">
      <c r="A249" s="2"/>
      <c r="B249" s="2"/>
      <c r="C249" s="2"/>
      <c r="D249" s="2"/>
    </row>
    <row r="250" spans="1:4" x14ac:dyDescent="0.2">
      <c r="A250" s="2"/>
      <c r="B250" s="2"/>
      <c r="C250" s="2"/>
      <c r="D250" s="2"/>
    </row>
    <row r="251" spans="1:4" x14ac:dyDescent="0.2">
      <c r="A251" s="2"/>
      <c r="B251" s="2"/>
      <c r="C251" s="2"/>
      <c r="D251" s="2"/>
    </row>
    <row r="252" spans="1:4" x14ac:dyDescent="0.2">
      <c r="A252" s="2"/>
      <c r="B252" s="2"/>
      <c r="C252" s="2"/>
      <c r="D252" s="2"/>
    </row>
    <row r="253" spans="1:4" x14ac:dyDescent="0.2">
      <c r="A253" s="2"/>
      <c r="B253" s="2"/>
      <c r="C253" s="2"/>
      <c r="D253" s="2"/>
    </row>
    <row r="254" spans="1:4" x14ac:dyDescent="0.2">
      <c r="A254" s="2"/>
      <c r="B254" s="2"/>
      <c r="C254" s="2"/>
      <c r="D254" s="2"/>
    </row>
    <row r="255" spans="1:4" x14ac:dyDescent="0.2">
      <c r="A255" s="2"/>
      <c r="B255" s="2"/>
      <c r="C255" s="2"/>
      <c r="D255" s="2"/>
    </row>
    <row r="256" spans="1:4" x14ac:dyDescent="0.2">
      <c r="A256" s="2"/>
      <c r="B256" s="2"/>
      <c r="C256" s="2"/>
      <c r="D256" s="2"/>
    </row>
    <row r="257" spans="1:4" x14ac:dyDescent="0.2">
      <c r="A257" s="2"/>
      <c r="B257" s="2"/>
      <c r="C257" s="2"/>
      <c r="D257" s="2"/>
    </row>
    <row r="258" spans="1:4" x14ac:dyDescent="0.2">
      <c r="A258" s="2"/>
      <c r="B258" s="2"/>
      <c r="C258" s="2"/>
      <c r="D258" s="2"/>
    </row>
    <row r="259" spans="1:4" x14ac:dyDescent="0.2">
      <c r="A259" s="2"/>
      <c r="B259" s="2"/>
      <c r="C259" s="2"/>
      <c r="D259" s="2"/>
    </row>
    <row r="260" spans="1:4" x14ac:dyDescent="0.2">
      <c r="A260" s="2"/>
      <c r="B260" s="2"/>
      <c r="C260" s="2"/>
      <c r="D260" s="2"/>
    </row>
    <row r="261" spans="1:4" x14ac:dyDescent="0.2">
      <c r="A261" s="2"/>
      <c r="B261" s="2"/>
      <c r="C261" s="2"/>
      <c r="D261" s="2"/>
    </row>
    <row r="262" spans="1:4" x14ac:dyDescent="0.2">
      <c r="A262" s="2"/>
      <c r="B262" s="2"/>
      <c r="C262" s="2"/>
      <c r="D262" s="2"/>
    </row>
    <row r="263" spans="1:4" x14ac:dyDescent="0.2">
      <c r="A263" s="2"/>
      <c r="B263" s="2"/>
      <c r="C263" s="2"/>
      <c r="D263" s="2"/>
    </row>
    <row r="264" spans="1:4" x14ac:dyDescent="0.2">
      <c r="A264" s="2"/>
      <c r="B264" s="2"/>
      <c r="C264" s="2"/>
      <c r="D264" s="2"/>
    </row>
    <row r="265" spans="1:4" x14ac:dyDescent="0.2">
      <c r="A265" s="2"/>
      <c r="B265" s="2"/>
      <c r="C265" s="2"/>
      <c r="D265" s="2"/>
    </row>
    <row r="266" spans="1:4" x14ac:dyDescent="0.2">
      <c r="A266" s="2"/>
      <c r="B266" s="2"/>
      <c r="C266" s="2"/>
      <c r="D266" s="2"/>
    </row>
    <row r="267" spans="1:4" x14ac:dyDescent="0.2">
      <c r="A267" s="2"/>
      <c r="B267" s="2"/>
      <c r="C267" s="2"/>
      <c r="D267" s="2"/>
    </row>
    <row r="268" spans="1:4" x14ac:dyDescent="0.2">
      <c r="A268" s="2"/>
      <c r="B268" s="2"/>
      <c r="C268" s="2"/>
      <c r="D268" s="2"/>
    </row>
    <row r="269" spans="1:4" x14ac:dyDescent="0.2">
      <c r="A269" s="2"/>
      <c r="B269" s="2"/>
      <c r="C269" s="2"/>
      <c r="D269" s="2"/>
    </row>
    <row r="270" spans="1:4" x14ac:dyDescent="0.2">
      <c r="A270" s="2"/>
      <c r="B270" s="2"/>
      <c r="C270" s="2"/>
      <c r="D270" s="2"/>
    </row>
    <row r="271" spans="1:4" x14ac:dyDescent="0.2">
      <c r="A271" s="2"/>
      <c r="B271" s="2"/>
      <c r="C271" s="2"/>
      <c r="D271" s="2"/>
    </row>
    <row r="272" spans="1:4" x14ac:dyDescent="0.2">
      <c r="A272" s="2"/>
      <c r="B272" s="2"/>
      <c r="C272" s="2"/>
      <c r="D272" s="2"/>
    </row>
    <row r="273" spans="1:4" x14ac:dyDescent="0.2">
      <c r="A273" s="2"/>
      <c r="B273" s="2"/>
      <c r="C273" s="2"/>
      <c r="D273" s="2"/>
    </row>
    <row r="274" spans="1:4" x14ac:dyDescent="0.2">
      <c r="A274" s="2"/>
      <c r="B274" s="2"/>
      <c r="C274" s="2"/>
      <c r="D274" s="2"/>
    </row>
    <row r="275" spans="1:4" x14ac:dyDescent="0.2">
      <c r="A275" s="2"/>
      <c r="B275" s="2"/>
      <c r="C275" s="2"/>
      <c r="D275" s="2"/>
    </row>
    <row r="276" spans="1:4" x14ac:dyDescent="0.2">
      <c r="A276" s="2"/>
      <c r="B276" s="2"/>
      <c r="C276" s="2"/>
      <c r="D276" s="2"/>
    </row>
    <row r="277" spans="1:4" x14ac:dyDescent="0.2">
      <c r="A277" s="2"/>
      <c r="B277" s="2"/>
      <c r="C277" s="2"/>
      <c r="D277" s="2"/>
    </row>
    <row r="278" spans="1:4" x14ac:dyDescent="0.2">
      <c r="A278" s="2"/>
      <c r="B278" s="2"/>
      <c r="C278" s="2"/>
      <c r="D278" s="2"/>
    </row>
    <row r="279" spans="1:4" x14ac:dyDescent="0.2">
      <c r="A279" s="2"/>
      <c r="B279" s="2"/>
      <c r="C279" s="2"/>
      <c r="D279" s="2"/>
    </row>
    <row r="280" spans="1:4" x14ac:dyDescent="0.2">
      <c r="A280" s="2"/>
      <c r="B280" s="2"/>
      <c r="C280" s="2"/>
      <c r="D280" s="2"/>
    </row>
    <row r="281" spans="1:4" x14ac:dyDescent="0.2">
      <c r="A281" s="2"/>
      <c r="B281" s="2"/>
      <c r="C281" s="2"/>
      <c r="D281" s="2"/>
    </row>
    <row r="282" spans="1:4" x14ac:dyDescent="0.2">
      <c r="A282" s="2"/>
      <c r="B282" s="2"/>
      <c r="C282" s="2"/>
      <c r="D282" s="2"/>
    </row>
    <row r="283" spans="1:4" x14ac:dyDescent="0.2">
      <c r="A283" s="2"/>
      <c r="B283" s="2"/>
      <c r="C283" s="2"/>
      <c r="D283" s="2"/>
    </row>
    <row r="284" spans="1:4" x14ac:dyDescent="0.2">
      <c r="A284" s="2"/>
      <c r="B284" s="2"/>
      <c r="C284" s="2"/>
      <c r="D284" s="2"/>
    </row>
    <row r="285" spans="1:4" x14ac:dyDescent="0.2">
      <c r="A285" s="2"/>
      <c r="B285" s="2"/>
      <c r="C285" s="2"/>
      <c r="D285" s="2"/>
    </row>
    <row r="286" spans="1:4" x14ac:dyDescent="0.2">
      <c r="A286" s="2"/>
      <c r="B286" s="2"/>
      <c r="C286" s="2"/>
      <c r="D286" s="2"/>
    </row>
    <row r="287" spans="1:4" x14ac:dyDescent="0.2">
      <c r="A287" s="2"/>
      <c r="B287" s="2"/>
      <c r="C287" s="2"/>
      <c r="D287" s="2"/>
    </row>
    <row r="288" spans="1:4" x14ac:dyDescent="0.2">
      <c r="A288" s="2"/>
      <c r="B288" s="2"/>
      <c r="C288" s="2"/>
      <c r="D288" s="2"/>
    </row>
    <row r="289" spans="1:4" x14ac:dyDescent="0.2">
      <c r="A289" s="2"/>
      <c r="B289" s="2"/>
      <c r="C289" s="2"/>
      <c r="D289" s="2"/>
    </row>
    <row r="290" spans="1:4" x14ac:dyDescent="0.2">
      <c r="A290" s="2"/>
      <c r="B290" s="2"/>
      <c r="C290" s="2"/>
      <c r="D290" s="2"/>
    </row>
    <row r="291" spans="1:4" x14ac:dyDescent="0.2">
      <c r="A291" s="2"/>
      <c r="B291" s="2"/>
      <c r="C291" s="2"/>
      <c r="D291" s="2"/>
    </row>
    <row r="292" spans="1:4" x14ac:dyDescent="0.2">
      <c r="A292" s="2"/>
      <c r="B292" s="2"/>
      <c r="C292" s="2"/>
      <c r="D292" s="2"/>
    </row>
    <row r="293" spans="1:4" x14ac:dyDescent="0.2">
      <c r="A293" s="2"/>
      <c r="B293" s="2"/>
      <c r="C293" s="2"/>
      <c r="D293" s="2"/>
    </row>
    <row r="294" spans="1:4" x14ac:dyDescent="0.2">
      <c r="A294" s="2"/>
      <c r="B294" s="2"/>
      <c r="C294" s="2"/>
      <c r="D294" s="2"/>
    </row>
    <row r="295" spans="1:4" x14ac:dyDescent="0.2">
      <c r="A295" s="2"/>
      <c r="B295" s="2"/>
      <c r="C295" s="2"/>
      <c r="D295" s="2"/>
    </row>
    <row r="296" spans="1:4" x14ac:dyDescent="0.2">
      <c r="A296" s="2"/>
      <c r="B296" s="2"/>
      <c r="C296" s="2"/>
      <c r="D296" s="2"/>
    </row>
    <row r="297" spans="1:4" x14ac:dyDescent="0.2">
      <c r="A297" s="2"/>
      <c r="B297" s="2"/>
      <c r="C297" s="2"/>
      <c r="D297" s="2"/>
    </row>
    <row r="298" spans="1:4" x14ac:dyDescent="0.2">
      <c r="A298" s="2"/>
      <c r="B298" s="2"/>
      <c r="C298" s="2"/>
      <c r="D298" s="2"/>
    </row>
    <row r="299" spans="1:4" x14ac:dyDescent="0.2">
      <c r="A299" s="2"/>
      <c r="B299" s="2"/>
      <c r="C299" s="2"/>
      <c r="D299" s="2"/>
    </row>
    <row r="300" spans="1:4" x14ac:dyDescent="0.2">
      <c r="A300" s="2"/>
      <c r="B300" s="2"/>
      <c r="C300" s="2"/>
      <c r="D300" s="2"/>
    </row>
    <row r="301" spans="1:4" x14ac:dyDescent="0.2">
      <c r="A301" s="2"/>
      <c r="B301" s="2"/>
      <c r="C301" s="2"/>
      <c r="D301" s="2"/>
    </row>
    <row r="302" spans="1:4" x14ac:dyDescent="0.2">
      <c r="A302" s="2"/>
      <c r="B302" s="2"/>
      <c r="C302" s="2"/>
      <c r="D302" s="2"/>
    </row>
    <row r="303" spans="1:4" x14ac:dyDescent="0.2">
      <c r="A303" s="2"/>
      <c r="B303" s="2"/>
      <c r="C303" s="2"/>
      <c r="D303" s="2"/>
    </row>
    <row r="304" spans="1:4" x14ac:dyDescent="0.2">
      <c r="A304" s="2"/>
      <c r="B304" s="2"/>
      <c r="C304" s="2"/>
      <c r="D304" s="2"/>
    </row>
    <row r="305" spans="1:4" x14ac:dyDescent="0.2">
      <c r="A305" s="2"/>
      <c r="B305" s="2"/>
      <c r="C305" s="2"/>
      <c r="D305" s="2"/>
    </row>
    <row r="306" spans="1:4" x14ac:dyDescent="0.2">
      <c r="A306" s="2"/>
      <c r="B306" s="2"/>
      <c r="C306" s="2"/>
      <c r="D306" s="2"/>
    </row>
    <row r="307" spans="1:4" x14ac:dyDescent="0.2">
      <c r="A307" s="2"/>
      <c r="B307" s="2"/>
      <c r="C307" s="2"/>
      <c r="D307" s="2"/>
    </row>
    <row r="308" spans="1:4" x14ac:dyDescent="0.2">
      <c r="A308" s="2"/>
      <c r="B308" s="2"/>
      <c r="C308" s="2"/>
      <c r="D308" s="2"/>
    </row>
    <row r="309" spans="1:4" x14ac:dyDescent="0.2">
      <c r="A309" s="2"/>
      <c r="B309" s="2"/>
      <c r="C309" s="2"/>
      <c r="D309" s="2"/>
    </row>
    <row r="310" spans="1:4" x14ac:dyDescent="0.2">
      <c r="A310" s="2"/>
      <c r="B310" s="2"/>
      <c r="C310" s="2"/>
      <c r="D310" s="2"/>
    </row>
    <row r="311" spans="1:4" x14ac:dyDescent="0.2">
      <c r="A311" s="2"/>
      <c r="B311" s="2"/>
      <c r="C311" s="2"/>
      <c r="D311" s="2"/>
    </row>
    <row r="312" spans="1:4" x14ac:dyDescent="0.2">
      <c r="A312" s="2"/>
      <c r="B312" s="2"/>
      <c r="C312" s="2"/>
      <c r="D312" s="2"/>
    </row>
    <row r="313" spans="1:4" x14ac:dyDescent="0.2">
      <c r="A313" s="2"/>
      <c r="B313" s="2"/>
      <c r="C313" s="2"/>
      <c r="D313" s="2"/>
    </row>
    <row r="314" spans="1:4" x14ac:dyDescent="0.2">
      <c r="A314" s="2"/>
      <c r="B314" s="2"/>
      <c r="C314" s="2"/>
      <c r="D314" s="2"/>
    </row>
    <row r="315" spans="1:4" x14ac:dyDescent="0.2">
      <c r="A315" s="2"/>
      <c r="B315" s="2"/>
      <c r="C315" s="2"/>
      <c r="D315" s="2"/>
    </row>
    <row r="316" spans="1:4" x14ac:dyDescent="0.2">
      <c r="A316" s="2"/>
      <c r="B316" s="2"/>
      <c r="C316" s="2"/>
      <c r="D316" s="2"/>
    </row>
    <row r="317" spans="1:4" x14ac:dyDescent="0.2">
      <c r="A317" s="2"/>
      <c r="B317" s="2"/>
      <c r="C317" s="2"/>
      <c r="D317" s="2"/>
    </row>
    <row r="318" spans="1:4" x14ac:dyDescent="0.2">
      <c r="A318" s="2"/>
      <c r="B318" s="2"/>
      <c r="C318" s="2"/>
      <c r="D318" s="2"/>
    </row>
    <row r="319" spans="1:4" x14ac:dyDescent="0.2">
      <c r="A319" s="2"/>
      <c r="B319" s="2"/>
      <c r="C319" s="2"/>
      <c r="D319" s="2"/>
    </row>
    <row r="320" spans="1:4" x14ac:dyDescent="0.2">
      <c r="A320" s="2"/>
      <c r="B320" s="2"/>
      <c r="C320" s="2"/>
      <c r="D320" s="2"/>
    </row>
    <row r="321" spans="1:4" x14ac:dyDescent="0.2">
      <c r="A321" s="2"/>
      <c r="B321" s="2"/>
      <c r="C321" s="2"/>
      <c r="D321" s="2"/>
    </row>
    <row r="322" spans="1:4" x14ac:dyDescent="0.2">
      <c r="A322" s="2"/>
      <c r="B322" s="2"/>
      <c r="C322" s="2"/>
      <c r="D322" s="2"/>
    </row>
    <row r="323" spans="1:4" x14ac:dyDescent="0.2">
      <c r="A323" s="2"/>
      <c r="B323" s="2"/>
      <c r="C323" s="2"/>
      <c r="D323" s="2"/>
    </row>
    <row r="324" spans="1:4" x14ac:dyDescent="0.2">
      <c r="A324" s="2"/>
      <c r="B324" s="2"/>
      <c r="C324" s="2"/>
      <c r="D324" s="2"/>
    </row>
    <row r="325" spans="1:4" x14ac:dyDescent="0.2">
      <c r="A325" s="2"/>
      <c r="B325" s="2"/>
      <c r="C325" s="2"/>
      <c r="D325" s="2"/>
    </row>
    <row r="326" spans="1:4" x14ac:dyDescent="0.2">
      <c r="A326" s="2"/>
      <c r="B326" s="2"/>
      <c r="C326" s="2"/>
      <c r="D326" s="2"/>
    </row>
    <row r="327" spans="1:4" x14ac:dyDescent="0.2">
      <c r="A327" s="2"/>
      <c r="B327" s="2"/>
      <c r="C327" s="2"/>
      <c r="D327" s="2"/>
    </row>
    <row r="328" spans="1:4" x14ac:dyDescent="0.2">
      <c r="A328" s="2"/>
      <c r="B328" s="2"/>
      <c r="C328" s="2"/>
      <c r="D328" s="2"/>
    </row>
    <row r="329" spans="1:4" x14ac:dyDescent="0.2">
      <c r="A329" s="2"/>
      <c r="B329" s="2"/>
      <c r="C329" s="2"/>
      <c r="D329" s="2"/>
    </row>
    <row r="330" spans="1:4" x14ac:dyDescent="0.2">
      <c r="A330" s="2"/>
      <c r="B330" s="2"/>
      <c r="C330" s="2"/>
      <c r="D330" s="2"/>
    </row>
    <row r="331" spans="1:4" x14ac:dyDescent="0.2">
      <c r="A331" s="2"/>
      <c r="B331" s="2"/>
      <c r="C331" s="2"/>
      <c r="D331" s="2"/>
    </row>
    <row r="332" spans="1:4" x14ac:dyDescent="0.2">
      <c r="A332" s="2"/>
      <c r="B332" s="2"/>
      <c r="C332" s="2"/>
      <c r="D332" s="2"/>
    </row>
    <row r="333" spans="1:4" x14ac:dyDescent="0.2">
      <c r="A333" s="2"/>
      <c r="B333" s="2"/>
      <c r="C333" s="2"/>
      <c r="D333" s="2"/>
    </row>
    <row r="334" spans="1:4" x14ac:dyDescent="0.2">
      <c r="A334" s="2"/>
      <c r="B334" s="2"/>
      <c r="C334" s="2"/>
      <c r="D334" s="2"/>
    </row>
    <row r="335" spans="1:4" x14ac:dyDescent="0.2">
      <c r="A335" s="2"/>
      <c r="B335" s="2"/>
      <c r="C335" s="2"/>
      <c r="D335" s="2"/>
    </row>
    <row r="336" spans="1:4" x14ac:dyDescent="0.2">
      <c r="A336" s="2"/>
      <c r="B336" s="2"/>
      <c r="C336" s="2"/>
      <c r="D336" s="2"/>
    </row>
    <row r="337" spans="1:4" x14ac:dyDescent="0.2">
      <c r="A337" s="2"/>
      <c r="B337" s="2"/>
      <c r="C337" s="2"/>
      <c r="D337" s="2"/>
    </row>
    <row r="338" spans="1:4" x14ac:dyDescent="0.2">
      <c r="A338" s="2"/>
      <c r="B338" s="2"/>
      <c r="C338" s="2"/>
      <c r="D338" s="2"/>
    </row>
    <row r="339" spans="1:4" x14ac:dyDescent="0.2">
      <c r="A339" s="2"/>
      <c r="B339" s="2"/>
      <c r="C339" s="2"/>
      <c r="D339" s="2"/>
    </row>
    <row r="340" spans="1:4" x14ac:dyDescent="0.2">
      <c r="A340" s="2"/>
      <c r="B340" s="2"/>
      <c r="C340" s="2"/>
      <c r="D340" s="2"/>
    </row>
    <row r="341" spans="1:4" x14ac:dyDescent="0.2">
      <c r="A341" s="2"/>
      <c r="B341" s="2"/>
      <c r="C341" s="2"/>
      <c r="D341" s="2"/>
    </row>
    <row r="342" spans="1:4" x14ac:dyDescent="0.2">
      <c r="A342" s="2"/>
      <c r="B342" s="2"/>
      <c r="C342" s="2"/>
      <c r="D342" s="2"/>
    </row>
    <row r="343" spans="1:4" x14ac:dyDescent="0.2">
      <c r="A343" s="2"/>
      <c r="B343" s="2"/>
      <c r="C343" s="2"/>
      <c r="D343" s="2"/>
    </row>
    <row r="344" spans="1:4" x14ac:dyDescent="0.2">
      <c r="A344" s="2"/>
      <c r="B344" s="2"/>
      <c r="C344" s="2"/>
      <c r="D344" s="2"/>
    </row>
    <row r="345" spans="1:4" x14ac:dyDescent="0.2">
      <c r="A345" s="2"/>
      <c r="B345" s="2"/>
      <c r="C345" s="2"/>
      <c r="D345" s="2"/>
    </row>
    <row r="346" spans="1:4" x14ac:dyDescent="0.2">
      <c r="A346" s="2"/>
      <c r="B346" s="2"/>
      <c r="C346" s="2"/>
      <c r="D346" s="2"/>
    </row>
    <row r="347" spans="1:4" x14ac:dyDescent="0.2">
      <c r="A347" s="2"/>
      <c r="B347" s="2"/>
      <c r="C347" s="2"/>
      <c r="D347" s="2"/>
    </row>
    <row r="348" spans="1:4" x14ac:dyDescent="0.2">
      <c r="A348" s="2"/>
      <c r="B348" s="2"/>
      <c r="C348" s="2"/>
      <c r="D348" s="2"/>
    </row>
    <row r="349" spans="1:4" x14ac:dyDescent="0.2">
      <c r="A349" s="2"/>
      <c r="B349" s="2"/>
      <c r="C349" s="2"/>
      <c r="D349" s="2"/>
    </row>
    <row r="350" spans="1:4" x14ac:dyDescent="0.2">
      <c r="A350" s="2"/>
      <c r="B350" s="2"/>
      <c r="C350" s="2"/>
      <c r="D350" s="2"/>
    </row>
    <row r="351" spans="1:4" x14ac:dyDescent="0.2">
      <c r="A351" s="2"/>
      <c r="B351" s="2"/>
      <c r="C351" s="2"/>
      <c r="D351" s="2"/>
    </row>
    <row r="352" spans="1:4" x14ac:dyDescent="0.2">
      <c r="A352" s="2"/>
      <c r="B352" s="2"/>
      <c r="C352" s="2"/>
      <c r="D352" s="2"/>
    </row>
    <row r="353" spans="1:4" x14ac:dyDescent="0.2">
      <c r="A353" s="2"/>
      <c r="B353" s="2"/>
      <c r="C353" s="2"/>
      <c r="D353" s="2"/>
    </row>
    <row r="354" spans="1:4" x14ac:dyDescent="0.2">
      <c r="A354" s="2"/>
      <c r="B354" s="2"/>
      <c r="C354" s="2"/>
      <c r="D354" s="2"/>
    </row>
    <row r="355" spans="1:4" x14ac:dyDescent="0.2">
      <c r="A355" s="2"/>
      <c r="B355" s="2"/>
      <c r="C355" s="2"/>
      <c r="D355" s="2"/>
    </row>
    <row r="356" spans="1:4" x14ac:dyDescent="0.2">
      <c r="A356" s="2"/>
      <c r="B356" s="2"/>
      <c r="C356" s="2"/>
      <c r="D356" s="2"/>
    </row>
    <row r="357" spans="1:4" x14ac:dyDescent="0.2">
      <c r="A357" s="2"/>
      <c r="B357" s="2"/>
      <c r="C357" s="2"/>
      <c r="D357" s="2"/>
    </row>
    <row r="358" spans="1:4" x14ac:dyDescent="0.2">
      <c r="A358" s="2"/>
      <c r="B358" s="2"/>
      <c r="C358" s="2"/>
      <c r="D358" s="2"/>
    </row>
    <row r="359" spans="1:4" x14ac:dyDescent="0.2">
      <c r="A359" s="2"/>
      <c r="B359" s="2"/>
      <c r="C359" s="2"/>
      <c r="D359" s="2"/>
    </row>
    <row r="360" spans="1:4" x14ac:dyDescent="0.2">
      <c r="A360" s="2"/>
      <c r="B360" s="2"/>
      <c r="C360" s="2"/>
      <c r="D360" s="2"/>
    </row>
    <row r="361" spans="1:4" x14ac:dyDescent="0.2">
      <c r="A361" s="2"/>
      <c r="B361" s="2"/>
      <c r="C361" s="2"/>
      <c r="D361" s="2"/>
    </row>
    <row r="362" spans="1:4" x14ac:dyDescent="0.2">
      <c r="A362" s="2"/>
      <c r="B362" s="2"/>
      <c r="C362" s="2"/>
      <c r="D362" s="2"/>
    </row>
    <row r="363" spans="1:4" x14ac:dyDescent="0.2">
      <c r="A363" s="2"/>
      <c r="B363" s="2"/>
      <c r="C363" s="2"/>
      <c r="D363" s="2"/>
    </row>
    <row r="364" spans="1:4" x14ac:dyDescent="0.2">
      <c r="A364" s="2"/>
      <c r="B364" s="2"/>
      <c r="C364" s="2"/>
      <c r="D364" s="2"/>
    </row>
    <row r="365" spans="1:4" x14ac:dyDescent="0.2">
      <c r="A365" s="2"/>
      <c r="B365" s="2"/>
      <c r="C365" s="2"/>
      <c r="D365" s="2"/>
    </row>
    <row r="366" spans="1:4" x14ac:dyDescent="0.2">
      <c r="A366" s="2"/>
      <c r="B366" s="2"/>
      <c r="C366" s="2"/>
      <c r="D366" s="2"/>
    </row>
    <row r="367" spans="1:4" x14ac:dyDescent="0.2">
      <c r="A367" s="2"/>
      <c r="B367" s="2"/>
      <c r="C367" s="2"/>
      <c r="D367" s="2"/>
    </row>
    <row r="368" spans="1:4" x14ac:dyDescent="0.2">
      <c r="A368" s="2"/>
      <c r="B368" s="2"/>
      <c r="C368" s="2"/>
      <c r="D368" s="2"/>
    </row>
    <row r="369" spans="1:4" x14ac:dyDescent="0.2">
      <c r="A369" s="2"/>
      <c r="B369" s="2"/>
      <c r="C369" s="2"/>
      <c r="D369" s="2"/>
    </row>
    <row r="370" spans="1:4" x14ac:dyDescent="0.2">
      <c r="A370" s="2"/>
      <c r="B370" s="2"/>
      <c r="C370" s="2"/>
      <c r="D370" s="2"/>
    </row>
    <row r="371" spans="1:4" x14ac:dyDescent="0.2">
      <c r="A371" s="2"/>
      <c r="B371" s="2"/>
      <c r="C371" s="2"/>
      <c r="D371" s="2"/>
    </row>
    <row r="372" spans="1:4" x14ac:dyDescent="0.2">
      <c r="A372" s="2"/>
      <c r="B372" s="2"/>
      <c r="C372" s="2"/>
      <c r="D372" s="2"/>
    </row>
    <row r="373" spans="1:4" x14ac:dyDescent="0.2">
      <c r="A373" s="2"/>
      <c r="B373" s="2"/>
      <c r="C373" s="2"/>
      <c r="D373" s="2"/>
    </row>
    <row r="374" spans="1:4" x14ac:dyDescent="0.2">
      <c r="A374" s="2"/>
      <c r="B374" s="2"/>
      <c r="C374" s="2"/>
      <c r="D374" s="2"/>
    </row>
    <row r="375" spans="1:4" x14ac:dyDescent="0.2">
      <c r="A375" s="2"/>
      <c r="B375" s="2"/>
      <c r="C375" s="2"/>
      <c r="D375" s="2"/>
    </row>
    <row r="376" spans="1:4" x14ac:dyDescent="0.2">
      <c r="A376" s="2"/>
      <c r="B376" s="2"/>
      <c r="C376" s="2"/>
      <c r="D376" s="2"/>
    </row>
    <row r="377" spans="1:4" x14ac:dyDescent="0.2">
      <c r="A377" s="2"/>
      <c r="B377" s="2"/>
      <c r="C377" s="2"/>
      <c r="D377" s="2"/>
    </row>
    <row r="378" spans="1:4" x14ac:dyDescent="0.2">
      <c r="A378" s="2"/>
      <c r="B378" s="2"/>
      <c r="C378" s="2"/>
      <c r="D378" s="2"/>
    </row>
    <row r="379" spans="1:4" x14ac:dyDescent="0.2">
      <c r="A379" s="2"/>
      <c r="B379" s="2"/>
      <c r="C379" s="2"/>
      <c r="D379" s="2"/>
    </row>
    <row r="380" spans="1:4" x14ac:dyDescent="0.2">
      <c r="A380" s="2"/>
      <c r="B380" s="2"/>
      <c r="C380" s="2"/>
      <c r="D380" s="2"/>
    </row>
    <row r="381" spans="1:4" x14ac:dyDescent="0.2">
      <c r="A381" s="2"/>
      <c r="B381" s="2"/>
      <c r="C381" s="2"/>
      <c r="D381" s="2"/>
    </row>
    <row r="382" spans="1:4" x14ac:dyDescent="0.2">
      <c r="A382" s="2"/>
      <c r="B382" s="2"/>
      <c r="C382" s="2"/>
      <c r="D382" s="2"/>
    </row>
    <row r="383" spans="1:4" x14ac:dyDescent="0.2">
      <c r="A383" s="2"/>
      <c r="B383" s="2"/>
      <c r="C383" s="2"/>
      <c r="D383" s="2"/>
    </row>
    <row r="384" spans="1:4" x14ac:dyDescent="0.2">
      <c r="A384" s="2"/>
      <c r="B384" s="2"/>
      <c r="C384" s="2"/>
      <c r="D384" s="2"/>
    </row>
    <row r="385" spans="1:4" x14ac:dyDescent="0.2">
      <c r="A385" s="2"/>
      <c r="B385" s="2"/>
      <c r="C385" s="2"/>
      <c r="D385" s="2"/>
    </row>
    <row r="386" spans="1:4" x14ac:dyDescent="0.2">
      <c r="A386" s="2"/>
      <c r="B386" s="2"/>
      <c r="C386" s="2"/>
      <c r="D386" s="2"/>
    </row>
    <row r="387" spans="1:4" x14ac:dyDescent="0.2">
      <c r="A387" s="2"/>
      <c r="B387" s="2"/>
      <c r="C387" s="2"/>
      <c r="D387" s="2"/>
    </row>
    <row r="388" spans="1:4" x14ac:dyDescent="0.2">
      <c r="A388" s="2"/>
      <c r="B388" s="2"/>
      <c r="C388" s="2"/>
      <c r="D388" s="2"/>
    </row>
    <row r="389" spans="1:4" x14ac:dyDescent="0.2">
      <c r="A389" s="2"/>
      <c r="B389" s="2"/>
      <c r="C389" s="2"/>
      <c r="D389" s="2"/>
    </row>
    <row r="390" spans="1:4" x14ac:dyDescent="0.2">
      <c r="A390" s="2"/>
      <c r="B390" s="2"/>
      <c r="C390" s="2"/>
      <c r="D390" s="2"/>
    </row>
    <row r="391" spans="1:4" x14ac:dyDescent="0.2">
      <c r="A391" s="2"/>
      <c r="B391" s="2"/>
      <c r="C391" s="2"/>
      <c r="D391" s="2"/>
    </row>
    <row r="392" spans="1:4" x14ac:dyDescent="0.2">
      <c r="A392" s="2"/>
      <c r="B392" s="2"/>
      <c r="C392" s="2"/>
      <c r="D392" s="2"/>
    </row>
    <row r="393" spans="1:4" x14ac:dyDescent="0.2">
      <c r="A393" s="2"/>
      <c r="B393" s="2"/>
      <c r="C393" s="2"/>
      <c r="D393" s="2"/>
    </row>
    <row r="394" spans="1:4" x14ac:dyDescent="0.2">
      <c r="A394" s="2"/>
      <c r="B394" s="2"/>
      <c r="C394" s="2"/>
      <c r="D394" s="2"/>
    </row>
    <row r="395" spans="1:4" x14ac:dyDescent="0.2">
      <c r="A395" s="2"/>
      <c r="B395" s="2"/>
      <c r="C395" s="2"/>
      <c r="D395" s="2"/>
    </row>
    <row r="396" spans="1:4" x14ac:dyDescent="0.2">
      <c r="A396" s="2"/>
      <c r="B396" s="2"/>
      <c r="C396" s="2"/>
      <c r="D396" s="2"/>
    </row>
    <row r="397" spans="1:4" x14ac:dyDescent="0.2">
      <c r="A397" s="2"/>
      <c r="B397" s="2"/>
      <c r="C397" s="2"/>
      <c r="D397" s="2"/>
    </row>
    <row r="398" spans="1:4" x14ac:dyDescent="0.2">
      <c r="A398" s="2"/>
      <c r="B398" s="2"/>
      <c r="C398" s="2"/>
      <c r="D398" s="2"/>
    </row>
    <row r="399" spans="1:4" x14ac:dyDescent="0.2">
      <c r="A399" s="2"/>
      <c r="B399" s="2"/>
      <c r="C399" s="2"/>
      <c r="D399" s="2"/>
    </row>
    <row r="400" spans="1:4" x14ac:dyDescent="0.2">
      <c r="A400" s="2"/>
      <c r="B400" s="2"/>
      <c r="C400" s="2"/>
      <c r="D400" s="2"/>
    </row>
    <row r="401" spans="1:4" x14ac:dyDescent="0.2">
      <c r="A401" s="2"/>
      <c r="B401" s="2"/>
      <c r="C401" s="2"/>
      <c r="D401" s="2"/>
    </row>
    <row r="402" spans="1:4" x14ac:dyDescent="0.2">
      <c r="A402" s="2"/>
      <c r="B402" s="2"/>
      <c r="C402" s="2"/>
      <c r="D402" s="2"/>
    </row>
    <row r="403" spans="1:4" x14ac:dyDescent="0.2">
      <c r="A403" s="2"/>
      <c r="B403" s="2"/>
      <c r="C403" s="2"/>
      <c r="D403" s="2"/>
    </row>
    <row r="404" spans="1:4" x14ac:dyDescent="0.2">
      <c r="A404" s="2"/>
      <c r="B404" s="2"/>
      <c r="C404" s="2"/>
      <c r="D404" s="2"/>
    </row>
    <row r="405" spans="1:4" x14ac:dyDescent="0.2">
      <c r="A405" s="2"/>
      <c r="B405" s="2"/>
      <c r="C405" s="2"/>
      <c r="D405" s="2"/>
    </row>
    <row r="406" spans="1:4" x14ac:dyDescent="0.2">
      <c r="A406" s="2"/>
      <c r="B406" s="2"/>
      <c r="C406" s="2"/>
      <c r="D406" s="2"/>
    </row>
    <row r="407" spans="1:4" x14ac:dyDescent="0.2">
      <c r="A407" s="2"/>
      <c r="B407" s="2"/>
      <c r="C407" s="2"/>
      <c r="D407" s="2"/>
    </row>
    <row r="408" spans="1:4" x14ac:dyDescent="0.2">
      <c r="A408" s="2"/>
      <c r="B408" s="2"/>
      <c r="C408" s="2"/>
      <c r="D408" s="2"/>
    </row>
    <row r="409" spans="1:4" x14ac:dyDescent="0.2">
      <c r="A409" s="2"/>
      <c r="B409" s="2"/>
      <c r="C409" s="2"/>
      <c r="D409" s="2"/>
    </row>
    <row r="410" spans="1:4" x14ac:dyDescent="0.2">
      <c r="A410" s="2"/>
      <c r="B410" s="2"/>
      <c r="C410" s="2"/>
      <c r="D410" s="2"/>
    </row>
    <row r="411" spans="1:4" x14ac:dyDescent="0.2">
      <c r="A411" s="2"/>
      <c r="B411" s="2"/>
      <c r="C411" s="2"/>
      <c r="D411" s="2"/>
    </row>
    <row r="412" spans="1:4" x14ac:dyDescent="0.2">
      <c r="A412" s="2"/>
      <c r="B412" s="2"/>
      <c r="C412" s="2"/>
      <c r="D412" s="2"/>
    </row>
    <row r="413" spans="1:4" x14ac:dyDescent="0.2">
      <c r="A413" s="2"/>
      <c r="B413" s="2"/>
      <c r="C413" s="2"/>
      <c r="D413" s="2"/>
    </row>
    <row r="414" spans="1:4" x14ac:dyDescent="0.2">
      <c r="A414" s="2"/>
      <c r="B414" s="2"/>
      <c r="C414" s="2"/>
      <c r="D414" s="2"/>
    </row>
    <row r="415" spans="1:4" x14ac:dyDescent="0.2">
      <c r="A415" s="2"/>
      <c r="B415" s="2"/>
      <c r="C415" s="2"/>
      <c r="D415" s="2"/>
    </row>
    <row r="416" spans="1:4" x14ac:dyDescent="0.2">
      <c r="A416" s="2"/>
      <c r="B416" s="2"/>
      <c r="C416" s="2"/>
      <c r="D416" s="2"/>
    </row>
    <row r="417" spans="1:4" x14ac:dyDescent="0.2">
      <c r="A417" s="2"/>
      <c r="B417" s="2"/>
      <c r="C417" s="2"/>
      <c r="D417" s="2"/>
    </row>
    <row r="418" spans="1:4" x14ac:dyDescent="0.2">
      <c r="A418" s="2"/>
      <c r="B418" s="2"/>
      <c r="C418" s="2"/>
      <c r="D418" s="2"/>
    </row>
    <row r="419" spans="1:4" x14ac:dyDescent="0.2">
      <c r="A419" s="2"/>
      <c r="B419" s="2"/>
      <c r="C419" s="2"/>
      <c r="D419" s="2"/>
    </row>
    <row r="420" spans="1:4" x14ac:dyDescent="0.2">
      <c r="A420" s="2"/>
      <c r="B420" s="2"/>
      <c r="C420" s="2"/>
      <c r="D420" s="2"/>
    </row>
    <row r="421" spans="1:4" x14ac:dyDescent="0.2">
      <c r="A421" s="2"/>
      <c r="B421" s="2"/>
      <c r="C421" s="2"/>
      <c r="D421" s="2"/>
    </row>
    <row r="422" spans="1:4" x14ac:dyDescent="0.2">
      <c r="A422" s="2"/>
      <c r="B422" s="2"/>
      <c r="C422" s="2"/>
      <c r="D422" s="2"/>
    </row>
    <row r="423" spans="1:4" x14ac:dyDescent="0.2">
      <c r="A423" s="2"/>
      <c r="B423" s="2"/>
      <c r="C423" s="2"/>
      <c r="D423" s="2"/>
    </row>
    <row r="424" spans="1:4" x14ac:dyDescent="0.2">
      <c r="A424" s="2"/>
      <c r="B424" s="2"/>
      <c r="C424" s="2"/>
      <c r="D424" s="2"/>
    </row>
    <row r="425" spans="1:4" x14ac:dyDescent="0.2">
      <c r="A425" s="2"/>
      <c r="B425" s="2"/>
      <c r="C425" s="2"/>
      <c r="D425" s="2"/>
    </row>
    <row r="426" spans="1:4" x14ac:dyDescent="0.2">
      <c r="A426" s="2"/>
      <c r="B426" s="2"/>
      <c r="C426" s="2"/>
      <c r="D426" s="2"/>
    </row>
    <row r="427" spans="1:4" x14ac:dyDescent="0.2">
      <c r="A427" s="2"/>
      <c r="B427" s="2"/>
      <c r="C427" s="2"/>
      <c r="D427" s="2"/>
    </row>
    <row r="428" spans="1:4" x14ac:dyDescent="0.2">
      <c r="A428" s="2"/>
      <c r="B428" s="2"/>
      <c r="C428" s="2"/>
      <c r="D428" s="2"/>
    </row>
    <row r="429" spans="1:4" x14ac:dyDescent="0.2">
      <c r="A429" s="2"/>
      <c r="B429" s="2"/>
      <c r="C429" s="2"/>
      <c r="D429" s="2"/>
    </row>
    <row r="430" spans="1:4" x14ac:dyDescent="0.2">
      <c r="A430" s="2"/>
      <c r="B430" s="2"/>
      <c r="C430" s="2"/>
      <c r="D430" s="2"/>
    </row>
    <row r="431" spans="1:4" x14ac:dyDescent="0.2">
      <c r="A431" s="2"/>
      <c r="B431" s="2"/>
      <c r="C431" s="2"/>
      <c r="D431" s="2"/>
    </row>
    <row r="432" spans="1:4" x14ac:dyDescent="0.2">
      <c r="A432" s="2"/>
      <c r="B432" s="2"/>
      <c r="C432" s="2"/>
      <c r="D432" s="2"/>
    </row>
    <row r="433" spans="1:4" x14ac:dyDescent="0.2">
      <c r="A433" s="2"/>
      <c r="B433" s="2"/>
      <c r="C433" s="2"/>
      <c r="D433" s="2"/>
    </row>
    <row r="434" spans="1:4" x14ac:dyDescent="0.2">
      <c r="A434" s="2"/>
      <c r="B434" s="2"/>
      <c r="C434" s="2"/>
      <c r="D434" s="2"/>
    </row>
    <row r="435" spans="1:4" x14ac:dyDescent="0.2">
      <c r="A435" s="2"/>
      <c r="B435" s="2"/>
      <c r="C435" s="2"/>
      <c r="D435" s="2"/>
    </row>
    <row r="436" spans="1:4" x14ac:dyDescent="0.2">
      <c r="A436" s="2"/>
      <c r="B436" s="2"/>
      <c r="C436" s="2"/>
      <c r="D436" s="2"/>
    </row>
    <row r="437" spans="1:4" x14ac:dyDescent="0.2">
      <c r="A437" s="2"/>
      <c r="B437" s="2"/>
      <c r="C437" s="2"/>
      <c r="D437" s="2"/>
    </row>
    <row r="438" spans="1:4" x14ac:dyDescent="0.2">
      <c r="A438" s="2"/>
      <c r="B438" s="2"/>
      <c r="C438" s="2"/>
      <c r="D438" s="2"/>
    </row>
    <row r="439" spans="1:4" x14ac:dyDescent="0.2">
      <c r="A439" s="2"/>
      <c r="B439" s="2"/>
      <c r="C439" s="2"/>
      <c r="D439" s="2"/>
    </row>
    <row r="440" spans="1:4" x14ac:dyDescent="0.2">
      <c r="A440" s="2"/>
      <c r="B440" s="2"/>
      <c r="C440" s="2"/>
      <c r="D440" s="2"/>
    </row>
    <row r="441" spans="1:4" x14ac:dyDescent="0.2">
      <c r="A441" s="2"/>
      <c r="B441" s="2"/>
      <c r="C441" s="2"/>
      <c r="D441" s="2"/>
    </row>
    <row r="442" spans="1:4" x14ac:dyDescent="0.2">
      <c r="A442" s="2"/>
      <c r="B442" s="2"/>
      <c r="C442" s="2"/>
      <c r="D442" s="2"/>
    </row>
    <row r="443" spans="1:4" x14ac:dyDescent="0.2">
      <c r="A443" s="2"/>
      <c r="B443" s="2"/>
      <c r="C443" s="2"/>
      <c r="D443" s="2"/>
    </row>
    <row r="444" spans="1:4" x14ac:dyDescent="0.2">
      <c r="A444" s="2"/>
      <c r="B444" s="2"/>
      <c r="C444" s="2"/>
      <c r="D444" s="2"/>
    </row>
    <row r="445" spans="1:4" x14ac:dyDescent="0.2">
      <c r="A445" s="2"/>
      <c r="B445" s="2"/>
      <c r="C445" s="2"/>
      <c r="D445" s="2"/>
    </row>
    <row r="446" spans="1:4" x14ac:dyDescent="0.2">
      <c r="A446" s="2"/>
      <c r="B446" s="2"/>
      <c r="C446" s="2"/>
      <c r="D446" s="2"/>
    </row>
    <row r="447" spans="1:4" x14ac:dyDescent="0.2">
      <c r="A447" s="2"/>
      <c r="B447" s="2"/>
      <c r="C447" s="2"/>
      <c r="D447" s="2"/>
    </row>
    <row r="448" spans="1:4" x14ac:dyDescent="0.2">
      <c r="A448" s="2"/>
      <c r="B448" s="2"/>
      <c r="C448" s="2"/>
      <c r="D448" s="2"/>
    </row>
    <row r="449" spans="1:4" x14ac:dyDescent="0.2">
      <c r="A449" s="2"/>
      <c r="B449" s="2"/>
      <c r="C449" s="2"/>
      <c r="D449" s="2"/>
    </row>
    <row r="450" spans="1:4" x14ac:dyDescent="0.2">
      <c r="A450" s="2"/>
      <c r="B450" s="2"/>
      <c r="C450" s="2"/>
      <c r="D450" s="2"/>
    </row>
    <row r="451" spans="1:4" x14ac:dyDescent="0.2">
      <c r="A451" s="2"/>
      <c r="B451" s="2"/>
      <c r="C451" s="2"/>
      <c r="D451" s="2"/>
    </row>
    <row r="452" spans="1:4" x14ac:dyDescent="0.2">
      <c r="A452" s="2"/>
      <c r="B452" s="2"/>
      <c r="C452" s="2"/>
      <c r="D452" s="2"/>
    </row>
    <row r="453" spans="1:4" x14ac:dyDescent="0.2">
      <c r="A453" s="2"/>
      <c r="B453" s="2"/>
      <c r="C453" s="2"/>
      <c r="D453" s="2"/>
    </row>
    <row r="454" spans="1:4" x14ac:dyDescent="0.2">
      <c r="A454" s="2"/>
      <c r="B454" s="2"/>
      <c r="C454" s="2"/>
      <c r="D454" s="2"/>
    </row>
    <row r="455" spans="1:4" x14ac:dyDescent="0.2">
      <c r="A455" s="2"/>
      <c r="B455" s="2"/>
      <c r="C455" s="2"/>
      <c r="D455" s="2"/>
    </row>
    <row r="456" spans="1:4" x14ac:dyDescent="0.2">
      <c r="A456" s="2"/>
      <c r="B456" s="2"/>
      <c r="C456" s="2"/>
      <c r="D456" s="2"/>
    </row>
    <row r="457" spans="1:4" x14ac:dyDescent="0.2">
      <c r="A457" s="2"/>
      <c r="B457" s="2"/>
      <c r="C457" s="2"/>
      <c r="D457" s="2"/>
    </row>
    <row r="458" spans="1:4" x14ac:dyDescent="0.2">
      <c r="A458" s="2"/>
      <c r="B458" s="2"/>
      <c r="C458" s="2"/>
      <c r="D458" s="2"/>
    </row>
    <row r="459" spans="1:4" x14ac:dyDescent="0.2">
      <c r="A459" s="2"/>
      <c r="B459" s="2"/>
      <c r="C459" s="2"/>
      <c r="D459" s="2"/>
    </row>
    <row r="460" spans="1:4" x14ac:dyDescent="0.2">
      <c r="A460" s="2"/>
      <c r="B460" s="2"/>
      <c r="C460" s="2"/>
      <c r="D460" s="2"/>
    </row>
    <row r="461" spans="1:4" x14ac:dyDescent="0.2">
      <c r="A461" s="2"/>
      <c r="B461" s="2"/>
      <c r="C461" s="2"/>
      <c r="D461" s="2"/>
    </row>
    <row r="462" spans="1:4" x14ac:dyDescent="0.2">
      <c r="A462" s="2"/>
      <c r="B462" s="2"/>
      <c r="C462" s="2"/>
      <c r="D462" s="2"/>
    </row>
    <row r="463" spans="1:4" x14ac:dyDescent="0.2">
      <c r="A463" s="2"/>
      <c r="B463" s="2"/>
      <c r="C463" s="2"/>
      <c r="D463" s="2"/>
    </row>
    <row r="464" spans="1:4" x14ac:dyDescent="0.2">
      <c r="A464" s="2"/>
      <c r="B464" s="2"/>
      <c r="C464" s="2"/>
      <c r="D464" s="2"/>
    </row>
    <row r="465" spans="1:4" x14ac:dyDescent="0.2">
      <c r="A465" s="2"/>
      <c r="B465" s="2"/>
      <c r="C465" s="2"/>
      <c r="D465" s="2"/>
    </row>
    <row r="466" spans="1:4" x14ac:dyDescent="0.2">
      <c r="A466" s="2"/>
      <c r="B466" s="2"/>
      <c r="C466" s="2"/>
      <c r="D466" s="2"/>
    </row>
    <row r="467" spans="1:4" x14ac:dyDescent="0.2">
      <c r="A467" s="2"/>
      <c r="B467" s="2"/>
      <c r="C467" s="2"/>
      <c r="D467" s="2"/>
    </row>
    <row r="468" spans="1:4" x14ac:dyDescent="0.2">
      <c r="A468" s="2"/>
      <c r="B468" s="2"/>
      <c r="C468" s="2"/>
      <c r="D468" s="2"/>
    </row>
    <row r="469" spans="1:4" x14ac:dyDescent="0.2">
      <c r="A469" s="2"/>
      <c r="B469" s="2"/>
      <c r="C469" s="2"/>
      <c r="D469" s="2"/>
    </row>
    <row r="470" spans="1:4" x14ac:dyDescent="0.2">
      <c r="A470" s="2"/>
      <c r="B470" s="2"/>
      <c r="C470" s="2"/>
      <c r="D470" s="2"/>
    </row>
    <row r="471" spans="1:4" x14ac:dyDescent="0.2">
      <c r="A471" s="2"/>
      <c r="B471" s="2"/>
      <c r="C471" s="2"/>
      <c r="D471" s="2"/>
    </row>
    <row r="472" spans="1:4" x14ac:dyDescent="0.2">
      <c r="A472" s="2"/>
      <c r="B472" s="2"/>
      <c r="C472" s="2"/>
      <c r="D472" s="2"/>
    </row>
    <row r="473" spans="1:4" x14ac:dyDescent="0.2">
      <c r="A473" s="2"/>
      <c r="B473" s="2"/>
      <c r="C473" s="2"/>
      <c r="D473" s="2"/>
    </row>
    <row r="474" spans="1:4" x14ac:dyDescent="0.2">
      <c r="A474" s="2"/>
      <c r="B474" s="2"/>
      <c r="C474" s="2"/>
      <c r="D474" s="2"/>
    </row>
    <row r="475" spans="1:4" x14ac:dyDescent="0.2">
      <c r="A475" s="2"/>
      <c r="B475" s="2"/>
      <c r="C475" s="2"/>
      <c r="D475" s="2"/>
    </row>
    <row r="476" spans="1:4" x14ac:dyDescent="0.2">
      <c r="A476" s="2"/>
      <c r="B476" s="2"/>
      <c r="C476" s="2"/>
      <c r="D476" s="2"/>
    </row>
    <row r="477" spans="1:4" x14ac:dyDescent="0.2">
      <c r="A477" s="2"/>
      <c r="B477" s="2"/>
      <c r="C477" s="2"/>
      <c r="D477" s="2"/>
    </row>
    <row r="478" spans="1:4" x14ac:dyDescent="0.2">
      <c r="A478" s="2"/>
      <c r="B478" s="2"/>
      <c r="C478" s="2"/>
      <c r="D478" s="2"/>
    </row>
    <row r="479" spans="1:4" x14ac:dyDescent="0.2">
      <c r="A479" s="2"/>
      <c r="B479" s="2"/>
      <c r="C479" s="2"/>
      <c r="D479" s="2"/>
    </row>
    <row r="480" spans="1:4" x14ac:dyDescent="0.2">
      <c r="A480" s="2"/>
      <c r="B480" s="2"/>
      <c r="C480" s="2"/>
      <c r="D480" s="2"/>
    </row>
    <row r="481" spans="1:4" x14ac:dyDescent="0.2">
      <c r="A481" s="2"/>
      <c r="B481" s="2"/>
      <c r="C481" s="2"/>
      <c r="D481" s="2"/>
    </row>
    <row r="482" spans="1:4" x14ac:dyDescent="0.2">
      <c r="A482" s="2"/>
      <c r="B482" s="2"/>
      <c r="C482" s="2"/>
      <c r="D482" s="2"/>
    </row>
    <row r="483" spans="1:4" x14ac:dyDescent="0.2">
      <c r="A483" s="2"/>
      <c r="B483" s="2"/>
      <c r="C483" s="2"/>
      <c r="D483" s="2"/>
    </row>
    <row r="484" spans="1:4" x14ac:dyDescent="0.2">
      <c r="A484" s="2"/>
      <c r="B484" s="2"/>
      <c r="C484" s="2"/>
      <c r="D484" s="2"/>
    </row>
    <row r="485" spans="1:4" x14ac:dyDescent="0.2">
      <c r="A485" s="2"/>
      <c r="B485" s="2"/>
      <c r="C485" s="2"/>
      <c r="D485" s="2"/>
    </row>
    <row r="486" spans="1:4" x14ac:dyDescent="0.2">
      <c r="A486" s="2"/>
      <c r="B486" s="2"/>
      <c r="C486" s="2"/>
      <c r="D486" s="2"/>
    </row>
    <row r="487" spans="1:4" x14ac:dyDescent="0.2">
      <c r="A487" s="2"/>
      <c r="B487" s="2"/>
      <c r="C487" s="2"/>
      <c r="D487" s="2"/>
    </row>
    <row r="488" spans="1:4" x14ac:dyDescent="0.2">
      <c r="A488" s="2"/>
      <c r="B488" s="2"/>
      <c r="C488" s="2"/>
      <c r="D488" s="2"/>
    </row>
    <row r="489" spans="1:4" x14ac:dyDescent="0.2">
      <c r="A489" s="2"/>
      <c r="B489" s="2"/>
      <c r="C489" s="2"/>
      <c r="D489" s="2"/>
    </row>
    <row r="490" spans="1:4" x14ac:dyDescent="0.2">
      <c r="A490" s="2"/>
      <c r="B490" s="2"/>
      <c r="C490" s="2"/>
      <c r="D490" s="2"/>
    </row>
    <row r="491" spans="1:4" x14ac:dyDescent="0.2">
      <c r="A491" s="2"/>
      <c r="B491" s="2"/>
      <c r="C491" s="2"/>
      <c r="D491" s="2"/>
    </row>
    <row r="492" spans="1:4" x14ac:dyDescent="0.2">
      <c r="A492" s="2"/>
      <c r="B492" s="2"/>
      <c r="C492" s="2"/>
      <c r="D492" s="2"/>
    </row>
    <row r="493" spans="1:4" x14ac:dyDescent="0.2">
      <c r="A493" s="2"/>
      <c r="B493" s="2"/>
      <c r="C493" s="2"/>
      <c r="D493" s="2"/>
    </row>
    <row r="494" spans="1:4" x14ac:dyDescent="0.2">
      <c r="A494" s="2"/>
      <c r="B494" s="2"/>
      <c r="C494" s="2"/>
      <c r="D494" s="2"/>
    </row>
    <row r="495" spans="1:4" x14ac:dyDescent="0.2">
      <c r="A495" s="2"/>
      <c r="B495" s="2"/>
      <c r="C495" s="2"/>
      <c r="D495" s="2"/>
    </row>
    <row r="496" spans="1:4" x14ac:dyDescent="0.2">
      <c r="A496" s="2"/>
      <c r="B496" s="2"/>
      <c r="C496" s="2"/>
      <c r="D496" s="2"/>
    </row>
    <row r="497" spans="1:4" x14ac:dyDescent="0.2">
      <c r="A497" s="2"/>
      <c r="B497" s="2"/>
      <c r="C497" s="2"/>
      <c r="D497" s="2"/>
    </row>
    <row r="498" spans="1:4" x14ac:dyDescent="0.2">
      <c r="A498" s="2"/>
      <c r="B498" s="2"/>
      <c r="C498" s="2"/>
      <c r="D498" s="2"/>
    </row>
    <row r="499" spans="1:4" x14ac:dyDescent="0.2">
      <c r="A499" s="2"/>
      <c r="B499" s="2"/>
      <c r="C499" s="2"/>
      <c r="D499" s="2"/>
    </row>
    <row r="500" spans="1:4" x14ac:dyDescent="0.2">
      <c r="A500" s="2"/>
      <c r="B500" s="2"/>
      <c r="C500" s="2"/>
      <c r="D500" s="2"/>
    </row>
    <row r="501" spans="1:4" x14ac:dyDescent="0.2">
      <c r="A501" s="2"/>
      <c r="B501" s="2"/>
      <c r="C501" s="2"/>
      <c r="D501" s="2"/>
    </row>
    <row r="502" spans="1:4" x14ac:dyDescent="0.2">
      <c r="A502" s="2"/>
      <c r="B502" s="2"/>
      <c r="C502" s="2"/>
      <c r="D502" s="2"/>
    </row>
    <row r="503" spans="1:4" x14ac:dyDescent="0.2">
      <c r="A503" s="2"/>
      <c r="B503" s="2"/>
      <c r="C503" s="2"/>
      <c r="D503" s="2"/>
    </row>
    <row r="504" spans="1:4" x14ac:dyDescent="0.2">
      <c r="A504" s="2"/>
      <c r="B504" s="2"/>
      <c r="C504" s="2"/>
      <c r="D504" s="2"/>
    </row>
    <row r="505" spans="1:4" x14ac:dyDescent="0.2">
      <c r="A505" s="2"/>
      <c r="B505" s="2"/>
      <c r="C505" s="2"/>
      <c r="D505" s="2"/>
    </row>
    <row r="506" spans="1:4" x14ac:dyDescent="0.2">
      <c r="A506" s="2"/>
      <c r="B506" s="2"/>
      <c r="C506" s="2"/>
      <c r="D506" s="2"/>
    </row>
    <row r="507" spans="1:4" x14ac:dyDescent="0.2">
      <c r="A507" s="2"/>
      <c r="B507" s="2"/>
      <c r="C507" s="2"/>
      <c r="D507" s="2"/>
    </row>
    <row r="508" spans="1:4" x14ac:dyDescent="0.2">
      <c r="A508" s="2"/>
      <c r="B508" s="2"/>
      <c r="C508" s="2"/>
      <c r="D508" s="2"/>
    </row>
    <row r="509" spans="1:4" x14ac:dyDescent="0.2">
      <c r="A509" s="2"/>
      <c r="B509" s="2"/>
      <c r="C509" s="2"/>
      <c r="D509" s="2"/>
    </row>
    <row r="510" spans="1:4" x14ac:dyDescent="0.2">
      <c r="A510" s="2"/>
      <c r="B510" s="2"/>
      <c r="C510" s="2"/>
      <c r="D510" s="2"/>
    </row>
    <row r="511" spans="1:4" x14ac:dyDescent="0.2">
      <c r="A511" s="2"/>
      <c r="B511" s="2"/>
      <c r="C511" s="2"/>
      <c r="D511" s="2"/>
    </row>
    <row r="512" spans="1:4" x14ac:dyDescent="0.2">
      <c r="A512" s="2"/>
      <c r="B512" s="2"/>
      <c r="C512" s="2"/>
      <c r="D512" s="2"/>
    </row>
    <row r="513" spans="1:4" x14ac:dyDescent="0.2">
      <c r="A513" s="2"/>
      <c r="B513" s="2"/>
      <c r="C513" s="2"/>
      <c r="D513" s="2"/>
    </row>
    <row r="514" spans="1:4" x14ac:dyDescent="0.2">
      <c r="A514" s="2"/>
      <c r="B514" s="2"/>
      <c r="C514" s="2"/>
      <c r="D514" s="2"/>
    </row>
    <row r="515" spans="1:4" x14ac:dyDescent="0.2">
      <c r="A515" s="2"/>
      <c r="B515" s="2"/>
      <c r="C515" s="2"/>
      <c r="D515" s="2"/>
    </row>
    <row r="516" spans="1:4" x14ac:dyDescent="0.2">
      <c r="A516" s="2"/>
      <c r="B516" s="2"/>
      <c r="C516" s="2"/>
      <c r="D516" s="2"/>
    </row>
    <row r="517" spans="1:4" x14ac:dyDescent="0.2">
      <c r="A517" s="2"/>
      <c r="B517" s="2"/>
      <c r="C517" s="2"/>
      <c r="D517" s="2"/>
    </row>
    <row r="518" spans="1:4" x14ac:dyDescent="0.2">
      <c r="A518" s="2"/>
      <c r="B518" s="2"/>
      <c r="C518" s="2"/>
      <c r="D518" s="2"/>
    </row>
    <row r="519" spans="1:4" x14ac:dyDescent="0.2">
      <c r="A519" s="2"/>
      <c r="B519" s="2"/>
      <c r="C519" s="2"/>
      <c r="D519" s="2"/>
    </row>
    <row r="520" spans="1:4" x14ac:dyDescent="0.2">
      <c r="A520" s="2"/>
      <c r="B520" s="2"/>
      <c r="C520" s="2"/>
      <c r="D520" s="2"/>
    </row>
    <row r="521" spans="1:4" x14ac:dyDescent="0.2">
      <c r="A521" s="2"/>
      <c r="B521" s="2"/>
      <c r="C521" s="2"/>
      <c r="D521" s="2"/>
    </row>
    <row r="522" spans="1:4" x14ac:dyDescent="0.2">
      <c r="A522" s="2"/>
      <c r="B522" s="2"/>
      <c r="C522" s="2"/>
      <c r="D522" s="2"/>
    </row>
    <row r="523" spans="1:4" x14ac:dyDescent="0.2">
      <c r="A523" s="2"/>
      <c r="B523" s="2"/>
      <c r="C523" s="2"/>
      <c r="D523" s="2"/>
    </row>
    <row r="524" spans="1:4" x14ac:dyDescent="0.2">
      <c r="A524" s="2"/>
      <c r="B524" s="2"/>
      <c r="C524" s="2"/>
      <c r="D524" s="2"/>
    </row>
    <row r="525" spans="1:4" x14ac:dyDescent="0.2">
      <c r="A525" s="2"/>
      <c r="B525" s="2"/>
      <c r="C525" s="2"/>
      <c r="D525" s="2"/>
    </row>
    <row r="526" spans="1:4" x14ac:dyDescent="0.2">
      <c r="A526" s="2"/>
      <c r="B526" s="2"/>
      <c r="C526" s="2"/>
      <c r="D526" s="2"/>
    </row>
    <row r="527" spans="1:4" x14ac:dyDescent="0.2">
      <c r="A527" s="2"/>
      <c r="B527" s="2"/>
      <c r="C527" s="2"/>
      <c r="D527" s="2"/>
    </row>
    <row r="528" spans="1:4" x14ac:dyDescent="0.2">
      <c r="A528" s="2"/>
      <c r="B528" s="2"/>
      <c r="C528" s="2"/>
      <c r="D528" s="2"/>
    </row>
    <row r="529" spans="1:4" x14ac:dyDescent="0.2">
      <c r="A529" s="2"/>
      <c r="B529" s="2"/>
      <c r="C529" s="2"/>
      <c r="D529" s="2"/>
    </row>
    <row r="530" spans="1:4" x14ac:dyDescent="0.2">
      <c r="A530" s="2"/>
      <c r="B530" s="2"/>
      <c r="C530" s="2"/>
      <c r="D530" s="2"/>
    </row>
    <row r="531" spans="1:4" x14ac:dyDescent="0.2">
      <c r="A531" s="2"/>
      <c r="B531" s="2"/>
      <c r="C531" s="2"/>
      <c r="D531" s="2"/>
    </row>
    <row r="532" spans="1:4" x14ac:dyDescent="0.2">
      <c r="A532" s="2"/>
      <c r="B532" s="2"/>
      <c r="C532" s="2"/>
      <c r="D532" s="2"/>
    </row>
    <row r="533" spans="1:4" x14ac:dyDescent="0.2">
      <c r="A533" s="2"/>
      <c r="B533" s="2"/>
      <c r="C533" s="2"/>
      <c r="D533" s="2"/>
    </row>
    <row r="534" spans="1:4" x14ac:dyDescent="0.2">
      <c r="A534" s="2"/>
      <c r="B534" s="2"/>
      <c r="C534" s="2"/>
      <c r="D534" s="2"/>
    </row>
    <row r="535" spans="1:4" x14ac:dyDescent="0.2">
      <c r="A535" s="2"/>
      <c r="B535" s="2"/>
      <c r="C535" s="2"/>
      <c r="D535" s="2"/>
    </row>
    <row r="536" spans="1:4" x14ac:dyDescent="0.2">
      <c r="A536" s="2"/>
      <c r="B536" s="2"/>
      <c r="C536" s="2"/>
      <c r="D536" s="2"/>
    </row>
    <row r="537" spans="1:4" x14ac:dyDescent="0.2">
      <c r="A537" s="2"/>
      <c r="B537" s="2"/>
      <c r="C537" s="2"/>
      <c r="D537" s="2"/>
    </row>
    <row r="538" spans="1:4" x14ac:dyDescent="0.2">
      <c r="A538" s="2"/>
      <c r="B538" s="2"/>
      <c r="C538" s="2"/>
      <c r="D538" s="2"/>
    </row>
    <row r="539" spans="1:4" x14ac:dyDescent="0.2">
      <c r="A539" s="2"/>
      <c r="B539" s="2"/>
      <c r="C539" s="2"/>
      <c r="D539" s="2"/>
    </row>
    <row r="540" spans="1:4" x14ac:dyDescent="0.2">
      <c r="A540" s="2"/>
      <c r="B540" s="2"/>
      <c r="C540" s="2"/>
      <c r="D540" s="2"/>
    </row>
    <row r="541" spans="1:4" x14ac:dyDescent="0.2">
      <c r="A541" s="2"/>
      <c r="B541" s="2"/>
      <c r="C541" s="2"/>
      <c r="D541" s="2"/>
    </row>
    <row r="542" spans="1:4" x14ac:dyDescent="0.2">
      <c r="A542" s="2"/>
      <c r="B542" s="2"/>
      <c r="C542" s="2"/>
      <c r="D542" s="2"/>
    </row>
    <row r="543" spans="1:4" x14ac:dyDescent="0.2">
      <c r="A543" s="2"/>
      <c r="B543" s="2"/>
      <c r="C543" s="2"/>
      <c r="D543" s="2"/>
    </row>
    <row r="544" spans="1:4" x14ac:dyDescent="0.2">
      <c r="A544" s="2"/>
      <c r="B544" s="2"/>
      <c r="C544" s="2"/>
      <c r="D544" s="2"/>
    </row>
    <row r="545" spans="1:4" x14ac:dyDescent="0.2">
      <c r="A545" s="2"/>
      <c r="B545" s="2"/>
      <c r="C545" s="2"/>
      <c r="D545" s="2"/>
    </row>
    <row r="546" spans="1:4" x14ac:dyDescent="0.2">
      <c r="A546" s="2"/>
      <c r="B546" s="2"/>
      <c r="C546" s="2"/>
      <c r="D546" s="2"/>
    </row>
    <row r="547" spans="1:4" x14ac:dyDescent="0.2">
      <c r="A547" s="2"/>
      <c r="B547" s="2"/>
      <c r="C547" s="2"/>
      <c r="D547" s="2"/>
    </row>
    <row r="548" spans="1:4" x14ac:dyDescent="0.2">
      <c r="A548" s="2"/>
      <c r="B548" s="2"/>
      <c r="C548" s="2"/>
      <c r="D548" s="2"/>
    </row>
    <row r="549" spans="1:4" x14ac:dyDescent="0.2">
      <c r="A549" s="2"/>
      <c r="B549" s="2"/>
      <c r="C549" s="2"/>
      <c r="D549" s="2"/>
    </row>
    <row r="550" spans="1:4" x14ac:dyDescent="0.2">
      <c r="A550" s="2"/>
      <c r="B550" s="2"/>
      <c r="C550" s="2"/>
      <c r="D550" s="2"/>
    </row>
    <row r="551" spans="1:4" x14ac:dyDescent="0.2">
      <c r="A551" s="2"/>
      <c r="B551" s="2"/>
      <c r="C551" s="2"/>
      <c r="D551" s="2"/>
    </row>
    <row r="552" spans="1:4" x14ac:dyDescent="0.2">
      <c r="A552" s="2"/>
      <c r="B552" s="2"/>
      <c r="C552" s="2"/>
      <c r="D552" s="2"/>
    </row>
    <row r="553" spans="1:4" x14ac:dyDescent="0.2">
      <c r="A553" s="2"/>
      <c r="B553" s="2"/>
      <c r="C553" s="2"/>
      <c r="D553" s="2"/>
    </row>
    <row r="554" spans="1:4" x14ac:dyDescent="0.2">
      <c r="A554" s="2"/>
      <c r="B554" s="2"/>
      <c r="C554" s="2"/>
      <c r="D554" s="2"/>
    </row>
    <row r="555" spans="1:4" x14ac:dyDescent="0.2">
      <c r="A555" s="2"/>
      <c r="B555" s="2"/>
      <c r="C555" s="2"/>
      <c r="D555" s="2"/>
    </row>
    <row r="556" spans="1:4" x14ac:dyDescent="0.2">
      <c r="A556" s="2"/>
      <c r="B556" s="2"/>
      <c r="C556" s="2"/>
      <c r="D556" s="2"/>
    </row>
    <row r="557" spans="1:4" x14ac:dyDescent="0.2">
      <c r="A557" s="2"/>
      <c r="B557" s="2"/>
      <c r="C557" s="2"/>
      <c r="D557" s="2"/>
    </row>
    <row r="558" spans="1:4" x14ac:dyDescent="0.2">
      <c r="A558" s="2"/>
      <c r="B558" s="2"/>
      <c r="C558" s="2"/>
      <c r="D558" s="2"/>
    </row>
    <row r="559" spans="1:4" x14ac:dyDescent="0.2">
      <c r="A559" s="2"/>
      <c r="B559" s="2"/>
      <c r="C559" s="2"/>
      <c r="D559" s="2"/>
    </row>
    <row r="560" spans="1:4" x14ac:dyDescent="0.2">
      <c r="A560" s="2"/>
      <c r="B560" s="2"/>
      <c r="C560" s="2"/>
      <c r="D560" s="2"/>
    </row>
    <row r="561" spans="1:4" x14ac:dyDescent="0.2">
      <c r="A561" s="2"/>
      <c r="B561" s="2"/>
      <c r="C561" s="2"/>
      <c r="D561" s="2"/>
    </row>
    <row r="562" spans="1:4" x14ac:dyDescent="0.2">
      <c r="A562" s="2"/>
      <c r="B562" s="2"/>
      <c r="C562" s="2"/>
      <c r="D562" s="2"/>
    </row>
    <row r="563" spans="1:4" x14ac:dyDescent="0.2">
      <c r="A563" s="2"/>
      <c r="B563" s="2"/>
      <c r="C563" s="2"/>
      <c r="D563" s="2"/>
    </row>
    <row r="564" spans="1:4" x14ac:dyDescent="0.2">
      <c r="A564" s="2"/>
      <c r="B564" s="2"/>
      <c r="C564" s="2"/>
      <c r="D564" s="2"/>
    </row>
    <row r="565" spans="1:4" x14ac:dyDescent="0.2">
      <c r="A565" s="2"/>
      <c r="B565" s="2"/>
      <c r="C565" s="2"/>
      <c r="D565" s="2"/>
    </row>
    <row r="566" spans="1:4" x14ac:dyDescent="0.2">
      <c r="A566" s="2"/>
      <c r="B566" s="2"/>
      <c r="C566" s="2"/>
      <c r="D566" s="2"/>
    </row>
    <row r="567" spans="1:4" x14ac:dyDescent="0.2">
      <c r="A567" s="2"/>
      <c r="B567" s="2"/>
      <c r="C567" s="2"/>
      <c r="D567" s="2"/>
    </row>
    <row r="568" spans="1:4" x14ac:dyDescent="0.2">
      <c r="A568" s="2"/>
      <c r="B568" s="2"/>
      <c r="C568" s="2"/>
      <c r="D568" s="2"/>
    </row>
    <row r="569" spans="1:4" x14ac:dyDescent="0.2">
      <c r="A569" s="2"/>
      <c r="B569" s="2"/>
      <c r="C569" s="2"/>
      <c r="D569" s="2"/>
    </row>
    <row r="570" spans="1:4" x14ac:dyDescent="0.2">
      <c r="A570" s="2"/>
      <c r="B570" s="2"/>
      <c r="C570" s="2"/>
      <c r="D570" s="2"/>
    </row>
    <row r="571" spans="1:4" x14ac:dyDescent="0.2">
      <c r="A571" s="2"/>
      <c r="B571" s="2"/>
      <c r="C571" s="2"/>
      <c r="D571" s="2"/>
    </row>
    <row r="572" spans="1:4" x14ac:dyDescent="0.2">
      <c r="A572" s="2"/>
      <c r="B572" s="2"/>
      <c r="C572" s="2"/>
      <c r="D572" s="2"/>
    </row>
    <row r="573" spans="1:4" x14ac:dyDescent="0.2">
      <c r="A573" s="2"/>
      <c r="B573" s="2"/>
      <c r="C573" s="2"/>
      <c r="D573" s="2"/>
    </row>
    <row r="574" spans="1:4" x14ac:dyDescent="0.2">
      <c r="A574" s="2"/>
      <c r="B574" s="2"/>
      <c r="C574" s="2"/>
      <c r="D574" s="2"/>
    </row>
    <row r="575" spans="1:4" x14ac:dyDescent="0.2">
      <c r="A575" s="2"/>
      <c r="B575" s="2"/>
      <c r="C575" s="2"/>
      <c r="D575" s="2"/>
    </row>
    <row r="576" spans="1:4" x14ac:dyDescent="0.2">
      <c r="A576" s="2"/>
      <c r="B576" s="2"/>
      <c r="C576" s="2"/>
      <c r="D576" s="2"/>
    </row>
    <row r="577" spans="1:4" x14ac:dyDescent="0.2">
      <c r="A577" s="2"/>
      <c r="B577" s="2"/>
      <c r="C577" s="2"/>
      <c r="D577" s="2"/>
    </row>
    <row r="578" spans="1:4" x14ac:dyDescent="0.2">
      <c r="A578" s="2"/>
      <c r="B578" s="2"/>
      <c r="C578" s="2"/>
      <c r="D578" s="2"/>
    </row>
    <row r="579" spans="1:4" x14ac:dyDescent="0.2">
      <c r="A579" s="2"/>
      <c r="B579" s="2"/>
      <c r="C579" s="2"/>
      <c r="D579" s="2"/>
    </row>
    <row r="580" spans="1:4" x14ac:dyDescent="0.2">
      <c r="A580" s="2"/>
      <c r="B580" s="2"/>
      <c r="C580" s="2"/>
      <c r="D580" s="2"/>
    </row>
    <row r="581" spans="1:4" x14ac:dyDescent="0.2">
      <c r="A581" s="2"/>
      <c r="B581" s="2"/>
      <c r="C581" s="2"/>
      <c r="D581" s="2"/>
    </row>
    <row r="582" spans="1:4" x14ac:dyDescent="0.2">
      <c r="A582" s="2"/>
      <c r="B582" s="2"/>
      <c r="C582" s="2"/>
      <c r="D582" s="2"/>
    </row>
    <row r="583" spans="1:4" x14ac:dyDescent="0.2">
      <c r="A583" s="2"/>
      <c r="B583" s="2"/>
      <c r="C583" s="2"/>
      <c r="D583" s="2"/>
    </row>
    <row r="584" spans="1:4" x14ac:dyDescent="0.2">
      <c r="A584" s="2"/>
      <c r="B584" s="2"/>
      <c r="C584" s="2"/>
      <c r="D584" s="2"/>
    </row>
    <row r="585" spans="1:4" x14ac:dyDescent="0.2">
      <c r="A585" s="2"/>
      <c r="B585" s="2"/>
      <c r="C585" s="2"/>
      <c r="D585" s="2"/>
    </row>
    <row r="586" spans="1:4" x14ac:dyDescent="0.2">
      <c r="A586" s="2"/>
      <c r="B586" s="2"/>
      <c r="C586" s="2"/>
      <c r="D586" s="2"/>
    </row>
    <row r="587" spans="1:4" x14ac:dyDescent="0.2">
      <c r="A587" s="2"/>
      <c r="B587" s="2"/>
      <c r="C587" s="2"/>
      <c r="D587" s="2"/>
    </row>
    <row r="588" spans="1:4" x14ac:dyDescent="0.2">
      <c r="A588" s="2"/>
      <c r="B588" s="2"/>
      <c r="C588" s="2"/>
      <c r="D588" s="2"/>
    </row>
    <row r="589" spans="1:4" x14ac:dyDescent="0.2">
      <c r="A589" s="2"/>
      <c r="B589" s="2"/>
      <c r="C589" s="2"/>
      <c r="D589" s="2"/>
    </row>
    <row r="590" spans="1:4" x14ac:dyDescent="0.2">
      <c r="A590" s="2"/>
      <c r="B590" s="2"/>
      <c r="C590" s="2"/>
      <c r="D590" s="2"/>
    </row>
    <row r="591" spans="1:4" x14ac:dyDescent="0.2">
      <c r="A591" s="2"/>
      <c r="B591" s="2"/>
      <c r="C591" s="2"/>
      <c r="D591" s="2"/>
    </row>
    <row r="592" spans="1:4" x14ac:dyDescent="0.2">
      <c r="A592" s="2"/>
      <c r="B592" s="2"/>
      <c r="C592" s="2"/>
      <c r="D592" s="2"/>
    </row>
    <row r="593" spans="1:4" x14ac:dyDescent="0.2">
      <c r="A593" s="2"/>
      <c r="B593" s="2"/>
      <c r="C593" s="2"/>
      <c r="D593" s="2"/>
    </row>
    <row r="594" spans="1:4" x14ac:dyDescent="0.2">
      <c r="A594" s="2"/>
      <c r="B594" s="2"/>
      <c r="C594" s="2"/>
      <c r="D594" s="2"/>
    </row>
    <row r="595" spans="1:4" x14ac:dyDescent="0.2">
      <c r="A595" s="2"/>
      <c r="B595" s="2"/>
      <c r="C595" s="2"/>
      <c r="D595" s="2"/>
    </row>
    <row r="596" spans="1:4" x14ac:dyDescent="0.2">
      <c r="A596" s="2"/>
      <c r="B596" s="2"/>
      <c r="C596" s="2"/>
      <c r="D596" s="2"/>
    </row>
    <row r="597" spans="1:4" x14ac:dyDescent="0.2">
      <c r="A597" s="2"/>
      <c r="B597" s="2"/>
      <c r="C597" s="2"/>
      <c r="D597" s="2"/>
    </row>
    <row r="598" spans="1:4" x14ac:dyDescent="0.2">
      <c r="A598" s="2"/>
      <c r="B598" s="2"/>
      <c r="C598" s="2"/>
      <c r="D598" s="2"/>
    </row>
    <row r="599" spans="1:4" x14ac:dyDescent="0.2">
      <c r="A599" s="2"/>
      <c r="B599" s="2"/>
      <c r="C599" s="2"/>
      <c r="D599" s="2"/>
    </row>
    <row r="600" spans="1:4" x14ac:dyDescent="0.2">
      <c r="A600" s="2"/>
      <c r="B600" s="2"/>
      <c r="C600" s="2"/>
      <c r="D600" s="2"/>
    </row>
    <row r="601" spans="1:4" x14ac:dyDescent="0.2">
      <c r="A601" s="2"/>
      <c r="B601" s="2"/>
      <c r="C601" s="2"/>
      <c r="D601" s="2"/>
    </row>
    <row r="602" spans="1:4" x14ac:dyDescent="0.2">
      <c r="A602" s="2"/>
      <c r="B602" s="2"/>
      <c r="C602" s="2"/>
      <c r="D602" s="2"/>
    </row>
    <row r="603" spans="1:4" x14ac:dyDescent="0.2">
      <c r="A603" s="2"/>
      <c r="B603" s="2"/>
      <c r="C603" s="2"/>
      <c r="D603" s="2"/>
    </row>
    <row r="604" spans="1:4" x14ac:dyDescent="0.2">
      <c r="A604" s="2"/>
      <c r="B604" s="2"/>
      <c r="C604" s="2"/>
      <c r="D604" s="2"/>
    </row>
    <row r="605" spans="1:4" x14ac:dyDescent="0.2">
      <c r="A605" s="2"/>
      <c r="B605" s="2"/>
      <c r="C605" s="2"/>
      <c r="D605" s="2"/>
    </row>
    <row r="606" spans="1:4" x14ac:dyDescent="0.2">
      <c r="A606" s="2"/>
      <c r="B606" s="2"/>
      <c r="C606" s="2"/>
      <c r="D606" s="2"/>
    </row>
    <row r="607" spans="1:4" x14ac:dyDescent="0.2">
      <c r="A607" s="2"/>
      <c r="B607" s="2"/>
      <c r="C607" s="2"/>
      <c r="D607" s="2"/>
    </row>
    <row r="608" spans="1:4" x14ac:dyDescent="0.2">
      <c r="A608" s="2"/>
      <c r="B608" s="2"/>
      <c r="C608" s="2"/>
      <c r="D608" s="2"/>
    </row>
    <row r="609" spans="1:4" x14ac:dyDescent="0.2">
      <c r="A609" s="2"/>
      <c r="B609" s="2"/>
      <c r="C609" s="2"/>
      <c r="D609" s="2"/>
    </row>
    <row r="610" spans="1:4" x14ac:dyDescent="0.2">
      <c r="A610" s="2"/>
      <c r="B610" s="2"/>
      <c r="C610" s="2"/>
      <c r="D610" s="2"/>
    </row>
    <row r="611" spans="1:4" x14ac:dyDescent="0.2">
      <c r="A611" s="2"/>
      <c r="B611" s="2"/>
      <c r="C611" s="2"/>
      <c r="D611" s="2"/>
    </row>
    <row r="612" spans="1:4" x14ac:dyDescent="0.2">
      <c r="A612" s="2"/>
      <c r="B612" s="2"/>
      <c r="C612" s="2"/>
      <c r="D612" s="2"/>
    </row>
    <row r="613" spans="1:4" x14ac:dyDescent="0.2">
      <c r="A613" s="2"/>
      <c r="B613" s="2"/>
      <c r="C613" s="2"/>
      <c r="D613" s="2"/>
    </row>
    <row r="614" spans="1:4" x14ac:dyDescent="0.2">
      <c r="A614" s="2"/>
      <c r="B614" s="2"/>
      <c r="C614" s="2"/>
      <c r="D614" s="2"/>
    </row>
    <row r="615" spans="1:4" x14ac:dyDescent="0.2">
      <c r="A615" s="2"/>
      <c r="B615" s="2"/>
      <c r="C615" s="2"/>
      <c r="D615" s="2"/>
    </row>
    <row r="616" spans="1:4" x14ac:dyDescent="0.2">
      <c r="A616" s="2"/>
      <c r="B616" s="2"/>
      <c r="C616" s="2"/>
      <c r="D616" s="2"/>
    </row>
    <row r="617" spans="1:4" x14ac:dyDescent="0.2">
      <c r="A617" s="2"/>
      <c r="B617" s="2"/>
      <c r="C617" s="2"/>
      <c r="D617" s="2"/>
    </row>
    <row r="618" spans="1:4" x14ac:dyDescent="0.2">
      <c r="A618" s="2"/>
      <c r="B618" s="2"/>
      <c r="C618" s="2"/>
      <c r="D618" s="2"/>
    </row>
    <row r="619" spans="1:4" x14ac:dyDescent="0.2">
      <c r="A619" s="2"/>
      <c r="B619" s="2"/>
      <c r="C619" s="2"/>
      <c r="D619" s="2"/>
    </row>
    <row r="620" spans="1:4" x14ac:dyDescent="0.2">
      <c r="A620" s="2"/>
      <c r="B620" s="2"/>
      <c r="C620" s="2"/>
      <c r="D620" s="2"/>
    </row>
    <row r="621" spans="1:4" x14ac:dyDescent="0.2">
      <c r="A621" s="2"/>
      <c r="B621" s="2"/>
      <c r="C621" s="2"/>
      <c r="D621" s="2"/>
    </row>
    <row r="622" spans="1:4" x14ac:dyDescent="0.2">
      <c r="A622" s="2"/>
      <c r="B622" s="2"/>
      <c r="C622" s="2"/>
      <c r="D622" s="2"/>
    </row>
    <row r="623" spans="1:4" x14ac:dyDescent="0.2">
      <c r="A623" s="2"/>
      <c r="B623" s="2"/>
      <c r="C623" s="2"/>
      <c r="D623" s="2"/>
    </row>
    <row r="624" spans="1:4" x14ac:dyDescent="0.2">
      <c r="A624" s="2"/>
      <c r="B624" s="2"/>
      <c r="C624" s="2"/>
      <c r="D624" s="2"/>
    </row>
    <row r="625" spans="1:4" x14ac:dyDescent="0.2">
      <c r="A625" s="2"/>
      <c r="B625" s="2"/>
      <c r="C625" s="2"/>
      <c r="D625" s="2"/>
    </row>
    <row r="626" spans="1:4" x14ac:dyDescent="0.2">
      <c r="A626" s="2"/>
      <c r="B626" s="2"/>
      <c r="C626" s="2"/>
      <c r="D626" s="2"/>
    </row>
    <row r="627" spans="1:4" x14ac:dyDescent="0.2">
      <c r="A627" s="2"/>
      <c r="B627" s="2"/>
      <c r="C627" s="2"/>
      <c r="D627" s="2"/>
    </row>
    <row r="628" spans="1:4" x14ac:dyDescent="0.2">
      <c r="A628" s="2"/>
      <c r="B628" s="2"/>
      <c r="C628" s="2"/>
      <c r="D628" s="2"/>
    </row>
    <row r="629" spans="1:4" x14ac:dyDescent="0.2">
      <c r="A629" s="2"/>
      <c r="B629" s="2"/>
      <c r="C629" s="2"/>
      <c r="D629" s="2"/>
    </row>
    <row r="630" spans="1:4" x14ac:dyDescent="0.2">
      <c r="A630" s="2"/>
      <c r="B630" s="2"/>
      <c r="C630" s="2"/>
      <c r="D630" s="2"/>
    </row>
    <row r="631" spans="1:4" x14ac:dyDescent="0.2">
      <c r="A631" s="2"/>
      <c r="B631" s="2"/>
      <c r="C631" s="2"/>
      <c r="D631" s="2"/>
    </row>
    <row r="632" spans="1:4" x14ac:dyDescent="0.2">
      <c r="A632" s="2"/>
      <c r="B632" s="2"/>
      <c r="C632" s="2"/>
      <c r="D632" s="2"/>
    </row>
    <row r="633" spans="1:4" x14ac:dyDescent="0.2">
      <c r="A633" s="2"/>
      <c r="B633" s="2"/>
      <c r="C633" s="2"/>
      <c r="D633" s="2"/>
    </row>
    <row r="634" spans="1:4" x14ac:dyDescent="0.2">
      <c r="A634" s="2"/>
      <c r="B634" s="2"/>
      <c r="C634" s="2"/>
      <c r="D634" s="2"/>
    </row>
    <row r="635" spans="1:4" x14ac:dyDescent="0.2">
      <c r="A635" s="2"/>
      <c r="B635" s="2"/>
      <c r="C635" s="2"/>
      <c r="D635" s="2"/>
    </row>
    <row r="636" spans="1:4" x14ac:dyDescent="0.2">
      <c r="A636" s="2"/>
      <c r="B636" s="2"/>
      <c r="C636" s="2"/>
      <c r="D636" s="2"/>
    </row>
    <row r="637" spans="1:4" x14ac:dyDescent="0.2">
      <c r="A637" s="2"/>
      <c r="B637" s="2"/>
      <c r="C637" s="2"/>
      <c r="D637" s="2"/>
    </row>
    <row r="638" spans="1:4" x14ac:dyDescent="0.2">
      <c r="A638" s="2"/>
      <c r="B638" s="2"/>
      <c r="C638" s="2"/>
      <c r="D638" s="2"/>
    </row>
    <row r="639" spans="1:4" x14ac:dyDescent="0.2">
      <c r="A639" s="2"/>
      <c r="B639" s="2"/>
      <c r="C639" s="2"/>
      <c r="D639" s="2"/>
    </row>
    <row r="640" spans="1:4" x14ac:dyDescent="0.2">
      <c r="A640" s="2"/>
      <c r="B640" s="2"/>
      <c r="C640" s="2"/>
      <c r="D640" s="2"/>
    </row>
    <row r="641" spans="1:4" x14ac:dyDescent="0.2">
      <c r="A641" s="2"/>
      <c r="B641" s="2"/>
      <c r="C641" s="2"/>
      <c r="D641" s="2"/>
    </row>
    <row r="642" spans="1:4" x14ac:dyDescent="0.2">
      <c r="A642" s="2"/>
      <c r="B642" s="2"/>
      <c r="C642" s="2"/>
      <c r="D642" s="2"/>
    </row>
    <row r="643" spans="1:4" x14ac:dyDescent="0.2">
      <c r="A643" s="2"/>
      <c r="B643" s="2"/>
      <c r="C643" s="2"/>
      <c r="D643" s="2"/>
    </row>
    <row r="644" spans="1:4" x14ac:dyDescent="0.2">
      <c r="A644" s="2"/>
      <c r="B644" s="2"/>
      <c r="C644" s="2"/>
      <c r="D644" s="2"/>
    </row>
    <row r="645" spans="1:4" x14ac:dyDescent="0.2">
      <c r="A645" s="2"/>
      <c r="B645" s="2"/>
      <c r="C645" s="2"/>
      <c r="D645" s="2"/>
    </row>
    <row r="646" spans="1:4" x14ac:dyDescent="0.2">
      <c r="A646" s="2"/>
      <c r="B646" s="2"/>
      <c r="C646" s="2"/>
      <c r="D646" s="2"/>
    </row>
    <row r="647" spans="1:4" x14ac:dyDescent="0.2">
      <c r="A647" s="2"/>
      <c r="B647" s="2"/>
      <c r="C647" s="2"/>
      <c r="D647" s="2"/>
    </row>
    <row r="648" spans="1:4" x14ac:dyDescent="0.2">
      <c r="A648" s="2"/>
      <c r="B648" s="2"/>
      <c r="C648" s="2"/>
      <c r="D648" s="2"/>
    </row>
    <row r="649" spans="1:4" x14ac:dyDescent="0.2">
      <c r="A649" s="2"/>
      <c r="B649" s="2"/>
      <c r="C649" s="2"/>
      <c r="D649" s="2"/>
    </row>
    <row r="650" spans="1:4" x14ac:dyDescent="0.2">
      <c r="A650" s="2"/>
      <c r="B650" s="2"/>
      <c r="C650" s="2"/>
      <c r="D650" s="2"/>
    </row>
    <row r="651" spans="1:4" x14ac:dyDescent="0.2">
      <c r="A651" s="2"/>
      <c r="B651" s="2"/>
      <c r="C651" s="2"/>
      <c r="D651" s="2"/>
    </row>
    <row r="652" spans="1:4" x14ac:dyDescent="0.2">
      <c r="A652" s="2"/>
      <c r="B652" s="2"/>
      <c r="C652" s="2"/>
      <c r="D652" s="2"/>
    </row>
    <row r="653" spans="1:4" x14ac:dyDescent="0.2">
      <c r="A653" s="2"/>
      <c r="B653" s="2"/>
      <c r="C653" s="2"/>
      <c r="D653" s="2"/>
    </row>
    <row r="654" spans="1:4" x14ac:dyDescent="0.2">
      <c r="A654" s="2"/>
      <c r="B654" s="2"/>
      <c r="C654" s="2"/>
      <c r="D654" s="2"/>
    </row>
    <row r="655" spans="1:4" x14ac:dyDescent="0.2">
      <c r="A655" s="2"/>
      <c r="B655" s="2"/>
      <c r="C655" s="2"/>
      <c r="D655" s="2"/>
    </row>
    <row r="656" spans="1:4" x14ac:dyDescent="0.2">
      <c r="A656" s="2"/>
      <c r="B656" s="2"/>
      <c r="C656" s="2"/>
      <c r="D656" s="2"/>
    </row>
    <row r="657" spans="1:4" x14ac:dyDescent="0.2">
      <c r="A657" s="2"/>
      <c r="B657" s="2"/>
      <c r="C657" s="2"/>
      <c r="D657" s="2"/>
    </row>
    <row r="658" spans="1:4" x14ac:dyDescent="0.2">
      <c r="A658" s="2"/>
      <c r="B658" s="2"/>
      <c r="C658" s="2"/>
      <c r="D658" s="2"/>
    </row>
    <row r="659" spans="1:4" x14ac:dyDescent="0.2">
      <c r="A659" s="2"/>
      <c r="B659" s="2"/>
      <c r="C659" s="2"/>
      <c r="D659" s="2"/>
    </row>
    <row r="660" spans="1:4" x14ac:dyDescent="0.2">
      <c r="A660" s="2"/>
      <c r="B660" s="2"/>
      <c r="C660" s="2"/>
      <c r="D660" s="2"/>
    </row>
    <row r="661" spans="1:4" x14ac:dyDescent="0.2">
      <c r="A661" s="2"/>
      <c r="B661" s="2"/>
      <c r="C661" s="2"/>
      <c r="D661" s="2"/>
    </row>
    <row r="662" spans="1:4" x14ac:dyDescent="0.2">
      <c r="A662" s="2"/>
      <c r="B662" s="2"/>
      <c r="C662" s="2"/>
      <c r="D662" s="2"/>
    </row>
    <row r="663" spans="1:4" x14ac:dyDescent="0.2">
      <c r="A663" s="2"/>
      <c r="B663" s="2"/>
      <c r="C663" s="2"/>
      <c r="D663" s="2"/>
    </row>
    <row r="664" spans="1:4" x14ac:dyDescent="0.2">
      <c r="A664" s="2"/>
      <c r="B664" s="2"/>
      <c r="C664" s="2"/>
      <c r="D664" s="2"/>
    </row>
    <row r="665" spans="1:4" x14ac:dyDescent="0.2">
      <c r="A665" s="2"/>
      <c r="B665" s="2"/>
      <c r="C665" s="2"/>
      <c r="D665" s="2"/>
    </row>
    <row r="666" spans="1:4" x14ac:dyDescent="0.2">
      <c r="A666" s="2"/>
      <c r="B666" s="2"/>
      <c r="C666" s="2"/>
      <c r="D666" s="2"/>
    </row>
    <row r="667" spans="1:4" x14ac:dyDescent="0.2">
      <c r="A667" s="2"/>
      <c r="B667" s="2"/>
      <c r="C667" s="2"/>
      <c r="D667" s="2"/>
    </row>
    <row r="668" spans="1:4" x14ac:dyDescent="0.2">
      <c r="A668" s="2"/>
      <c r="B668" s="2"/>
      <c r="C668" s="2"/>
      <c r="D668" s="2"/>
    </row>
    <row r="669" spans="1:4" x14ac:dyDescent="0.2">
      <c r="A669" s="2"/>
      <c r="B669" s="2"/>
      <c r="C669" s="2"/>
      <c r="D669" s="2"/>
    </row>
    <row r="670" spans="1:4" x14ac:dyDescent="0.2">
      <c r="A670" s="2"/>
      <c r="B670" s="2"/>
      <c r="C670" s="2"/>
      <c r="D670" s="2"/>
    </row>
    <row r="671" spans="1:4" x14ac:dyDescent="0.2">
      <c r="A671" s="2"/>
      <c r="B671" s="2"/>
      <c r="C671" s="2"/>
      <c r="D671" s="2"/>
    </row>
    <row r="672" spans="1:4" x14ac:dyDescent="0.2">
      <c r="A672" s="2"/>
      <c r="B672" s="2"/>
      <c r="C672" s="2"/>
      <c r="D672" s="2"/>
    </row>
    <row r="673" spans="1:4" x14ac:dyDescent="0.2">
      <c r="A673" s="2"/>
      <c r="B673" s="2"/>
      <c r="C673" s="2"/>
      <c r="D673" s="2"/>
    </row>
    <row r="674" spans="1:4" x14ac:dyDescent="0.2">
      <c r="A674" s="2"/>
      <c r="B674" s="2"/>
      <c r="C674" s="2"/>
      <c r="D674" s="2"/>
    </row>
    <row r="675" spans="1:4" x14ac:dyDescent="0.2">
      <c r="A675" s="2"/>
      <c r="B675" s="2"/>
      <c r="C675" s="2"/>
      <c r="D675" s="2"/>
    </row>
    <row r="676" spans="1:4" x14ac:dyDescent="0.2">
      <c r="A676" s="2"/>
      <c r="B676" s="2"/>
      <c r="C676" s="2"/>
      <c r="D676" s="2"/>
    </row>
    <row r="677" spans="1:4" x14ac:dyDescent="0.2">
      <c r="A677" s="2"/>
      <c r="B677" s="2"/>
      <c r="C677" s="2"/>
      <c r="D677" s="2"/>
    </row>
    <row r="678" spans="1:4" x14ac:dyDescent="0.2">
      <c r="A678" s="2"/>
      <c r="B678" s="2"/>
      <c r="C678" s="2"/>
      <c r="D678" s="2"/>
    </row>
    <row r="679" spans="1:4" x14ac:dyDescent="0.2">
      <c r="A679" s="2"/>
      <c r="B679" s="2"/>
      <c r="C679" s="2"/>
      <c r="D679" s="2"/>
    </row>
    <row r="680" spans="1:4" x14ac:dyDescent="0.2">
      <c r="A680" s="2"/>
      <c r="B680" s="2"/>
      <c r="C680" s="2"/>
      <c r="D680" s="2"/>
    </row>
    <row r="681" spans="1:4" x14ac:dyDescent="0.2">
      <c r="A681" s="2"/>
      <c r="B681" s="2"/>
      <c r="C681" s="2"/>
      <c r="D681" s="2"/>
    </row>
    <row r="682" spans="1:4" x14ac:dyDescent="0.2">
      <c r="A682" s="2"/>
      <c r="B682" s="2"/>
      <c r="C682" s="2"/>
      <c r="D682" s="2"/>
    </row>
    <row r="683" spans="1:4" x14ac:dyDescent="0.2">
      <c r="A683" s="2"/>
      <c r="B683" s="2"/>
      <c r="C683" s="2"/>
      <c r="D683" s="2"/>
    </row>
    <row r="684" spans="1:4" x14ac:dyDescent="0.2">
      <c r="A684" s="2"/>
      <c r="B684" s="2"/>
      <c r="C684" s="2"/>
      <c r="D684" s="2"/>
    </row>
    <row r="685" spans="1:4" x14ac:dyDescent="0.2">
      <c r="A685" s="2"/>
      <c r="B685" s="2"/>
      <c r="C685" s="2"/>
      <c r="D685" s="2"/>
    </row>
    <row r="686" spans="1:4" x14ac:dyDescent="0.2">
      <c r="A686" s="2"/>
      <c r="B686" s="2"/>
      <c r="C686" s="2"/>
      <c r="D686" s="2"/>
    </row>
    <row r="687" spans="1:4" x14ac:dyDescent="0.2">
      <c r="A687" s="2"/>
      <c r="B687" s="2"/>
      <c r="C687" s="2"/>
      <c r="D687" s="2"/>
    </row>
    <row r="688" spans="1:4" x14ac:dyDescent="0.2">
      <c r="A688" s="2"/>
      <c r="B688" s="2"/>
      <c r="C688" s="2"/>
      <c r="D688" s="2"/>
    </row>
    <row r="689" spans="1:4" x14ac:dyDescent="0.2">
      <c r="A689" s="2"/>
      <c r="B689" s="2"/>
      <c r="C689" s="2"/>
      <c r="D689" s="2"/>
    </row>
    <row r="690" spans="1:4" x14ac:dyDescent="0.2">
      <c r="A690" s="2"/>
      <c r="B690" s="2"/>
      <c r="C690" s="2"/>
      <c r="D690" s="2"/>
    </row>
    <row r="691" spans="1:4" x14ac:dyDescent="0.2">
      <c r="A691" s="2"/>
      <c r="B691" s="2"/>
      <c r="C691" s="2"/>
      <c r="D691" s="2"/>
    </row>
    <row r="692" spans="1:4" x14ac:dyDescent="0.2">
      <c r="A692" s="2"/>
      <c r="B692" s="2"/>
      <c r="C692" s="2"/>
      <c r="D692" s="2"/>
    </row>
    <row r="693" spans="1:4" x14ac:dyDescent="0.2">
      <c r="A693" s="2"/>
      <c r="B693" s="2"/>
      <c r="C693" s="2"/>
      <c r="D693" s="2"/>
    </row>
    <row r="694" spans="1:4" x14ac:dyDescent="0.2">
      <c r="A694" s="2"/>
      <c r="B694" s="2"/>
      <c r="C694" s="2"/>
      <c r="D694" s="2"/>
    </row>
    <row r="695" spans="1:4" x14ac:dyDescent="0.2">
      <c r="A695" s="2"/>
      <c r="B695" s="2"/>
      <c r="C695" s="2"/>
      <c r="D695" s="2"/>
    </row>
    <row r="696" spans="1:4" x14ac:dyDescent="0.2">
      <c r="A696" s="2"/>
      <c r="B696" s="2"/>
      <c r="C696" s="2"/>
      <c r="D696" s="2"/>
    </row>
    <row r="697" spans="1:4" x14ac:dyDescent="0.2">
      <c r="A697" s="2"/>
      <c r="B697" s="2"/>
      <c r="C697" s="2"/>
      <c r="D697" s="2"/>
    </row>
    <row r="698" spans="1:4" x14ac:dyDescent="0.2">
      <c r="A698" s="2"/>
      <c r="B698" s="2"/>
      <c r="C698" s="2"/>
      <c r="D698" s="2"/>
    </row>
    <row r="699" spans="1:4" x14ac:dyDescent="0.2">
      <c r="A699" s="2"/>
      <c r="B699" s="2"/>
      <c r="C699" s="2"/>
      <c r="D699" s="2"/>
    </row>
    <row r="700" spans="1:4" x14ac:dyDescent="0.2">
      <c r="A700" s="2"/>
      <c r="B700" s="2"/>
      <c r="C700" s="2"/>
      <c r="D700" s="2"/>
    </row>
    <row r="701" spans="1:4" x14ac:dyDescent="0.2">
      <c r="A701" s="2"/>
      <c r="B701" s="2"/>
      <c r="C701" s="2"/>
      <c r="D701" s="2"/>
    </row>
    <row r="702" spans="1:4" x14ac:dyDescent="0.2">
      <c r="A702" s="2"/>
      <c r="B702" s="2"/>
      <c r="C702" s="2"/>
      <c r="D702" s="2"/>
    </row>
    <row r="703" spans="1:4" x14ac:dyDescent="0.2">
      <c r="A703" s="2"/>
      <c r="B703" s="2"/>
      <c r="C703" s="2"/>
      <c r="D703" s="2"/>
    </row>
    <row r="704" spans="1:4" x14ac:dyDescent="0.2">
      <c r="A704" s="2"/>
      <c r="B704" s="2"/>
      <c r="C704" s="2"/>
      <c r="D704" s="2"/>
    </row>
    <row r="705" spans="1:4" x14ac:dyDescent="0.2">
      <c r="A705" s="2"/>
      <c r="B705" s="2"/>
      <c r="C705" s="2"/>
      <c r="D705" s="2"/>
    </row>
    <row r="706" spans="1:4" x14ac:dyDescent="0.2">
      <c r="A706" s="2"/>
      <c r="B706" s="2"/>
      <c r="C706" s="2"/>
      <c r="D706" s="2"/>
    </row>
    <row r="707" spans="1:4" x14ac:dyDescent="0.2">
      <c r="A707" s="2"/>
      <c r="B707" s="2"/>
      <c r="C707" s="2"/>
      <c r="D707" s="2"/>
    </row>
    <row r="708" spans="1:4" x14ac:dyDescent="0.2">
      <c r="A708" s="2"/>
      <c r="B708" s="2"/>
      <c r="C708" s="2"/>
      <c r="D708" s="2"/>
    </row>
    <row r="709" spans="1:4" x14ac:dyDescent="0.2">
      <c r="A709" s="2"/>
      <c r="B709" s="2"/>
      <c r="C709" s="2"/>
      <c r="D709" s="2"/>
    </row>
    <row r="710" spans="1:4" x14ac:dyDescent="0.2">
      <c r="A710" s="2"/>
      <c r="B710" s="2"/>
      <c r="C710" s="2"/>
      <c r="D710" s="2"/>
    </row>
    <row r="711" spans="1:4" x14ac:dyDescent="0.2">
      <c r="A711" s="2"/>
      <c r="B711" s="2"/>
      <c r="C711" s="2"/>
      <c r="D711" s="2"/>
    </row>
    <row r="712" spans="1:4" x14ac:dyDescent="0.2">
      <c r="A712" s="2"/>
      <c r="B712" s="2"/>
      <c r="C712" s="2"/>
      <c r="D712" s="2"/>
    </row>
    <row r="713" spans="1:4" x14ac:dyDescent="0.2">
      <c r="A713" s="2"/>
      <c r="B713" s="2"/>
      <c r="C713" s="2"/>
      <c r="D713" s="2"/>
    </row>
    <row r="714" spans="1:4" x14ac:dyDescent="0.2">
      <c r="A714" s="2"/>
      <c r="B714" s="2"/>
      <c r="C714" s="2"/>
      <c r="D714" s="2"/>
    </row>
    <row r="715" spans="1:4" x14ac:dyDescent="0.2">
      <c r="A715" s="2"/>
      <c r="B715" s="2"/>
      <c r="C715" s="2"/>
      <c r="D715" s="2"/>
    </row>
    <row r="716" spans="1:4" x14ac:dyDescent="0.2">
      <c r="A716" s="2"/>
      <c r="B716" s="2"/>
      <c r="C716" s="2"/>
      <c r="D716" s="2"/>
    </row>
    <row r="717" spans="1:4" x14ac:dyDescent="0.2">
      <c r="A717" s="2"/>
      <c r="B717" s="2"/>
      <c r="C717" s="2"/>
      <c r="D717" s="2"/>
    </row>
    <row r="718" spans="1:4" x14ac:dyDescent="0.2">
      <c r="A718" s="2"/>
      <c r="B718" s="2"/>
      <c r="C718" s="2"/>
      <c r="D718" s="2"/>
    </row>
    <row r="719" spans="1:4" x14ac:dyDescent="0.2">
      <c r="A719" s="2"/>
      <c r="B719" s="2"/>
      <c r="C719" s="2"/>
      <c r="D719" s="2"/>
    </row>
    <row r="720" spans="1:4" x14ac:dyDescent="0.2">
      <c r="A720" s="2"/>
      <c r="B720" s="2"/>
      <c r="C720" s="2"/>
      <c r="D720" s="2"/>
    </row>
    <row r="721" spans="1:4" x14ac:dyDescent="0.2">
      <c r="A721" s="2"/>
      <c r="B721" s="2"/>
      <c r="C721" s="2"/>
      <c r="D721" s="2"/>
    </row>
    <row r="722" spans="1:4" x14ac:dyDescent="0.2">
      <c r="A722" s="2"/>
      <c r="B722" s="2"/>
      <c r="C722" s="2"/>
      <c r="D722" s="2"/>
    </row>
    <row r="723" spans="1:4" x14ac:dyDescent="0.2">
      <c r="A723" s="2"/>
      <c r="B723" s="2"/>
      <c r="C723" s="2"/>
      <c r="D723" s="2"/>
    </row>
    <row r="724" spans="1:4" x14ac:dyDescent="0.2">
      <c r="A724" s="2"/>
      <c r="B724" s="2"/>
      <c r="C724" s="2"/>
      <c r="D724" s="2"/>
    </row>
    <row r="725" spans="1:4" x14ac:dyDescent="0.2">
      <c r="A725" s="2"/>
      <c r="B725" s="2"/>
      <c r="C725" s="2"/>
      <c r="D725" s="2"/>
    </row>
    <row r="726" spans="1:4" x14ac:dyDescent="0.2">
      <c r="A726" s="2"/>
      <c r="B726" s="2"/>
      <c r="C726" s="2"/>
      <c r="D726" s="2"/>
    </row>
    <row r="727" spans="1:4" x14ac:dyDescent="0.2">
      <c r="A727" s="2"/>
      <c r="B727" s="2"/>
      <c r="C727" s="2"/>
      <c r="D727" s="2"/>
    </row>
    <row r="728" spans="1:4" x14ac:dyDescent="0.2">
      <c r="A728" s="2"/>
      <c r="B728" s="2"/>
      <c r="C728" s="2"/>
      <c r="D728" s="2"/>
    </row>
    <row r="729" spans="1:4" x14ac:dyDescent="0.2">
      <c r="A729" s="2"/>
      <c r="B729" s="2"/>
      <c r="C729" s="2"/>
      <c r="D729" s="2"/>
    </row>
    <row r="730" spans="1:4" x14ac:dyDescent="0.2">
      <c r="A730" s="2"/>
      <c r="B730" s="2"/>
      <c r="C730" s="2"/>
      <c r="D730" s="2"/>
    </row>
    <row r="731" spans="1:4" x14ac:dyDescent="0.2">
      <c r="A731" s="2"/>
      <c r="B731" s="2"/>
      <c r="C731" s="2"/>
      <c r="D731" s="2"/>
    </row>
    <row r="732" spans="1:4" x14ac:dyDescent="0.2">
      <c r="A732" s="2"/>
      <c r="B732" s="2"/>
      <c r="C732" s="2"/>
      <c r="D732" s="2"/>
    </row>
    <row r="733" spans="1:4" x14ac:dyDescent="0.2">
      <c r="A733" s="2"/>
      <c r="B733" s="2"/>
      <c r="C733" s="2"/>
      <c r="D733" s="2"/>
    </row>
    <row r="734" spans="1:4" x14ac:dyDescent="0.2">
      <c r="A734" s="2"/>
      <c r="B734" s="2"/>
      <c r="C734" s="2"/>
      <c r="D734" s="2"/>
    </row>
    <row r="735" spans="1:4" x14ac:dyDescent="0.2">
      <c r="A735" s="2"/>
      <c r="B735" s="2"/>
      <c r="C735" s="2"/>
      <c r="D735" s="2"/>
    </row>
    <row r="736" spans="1:4" x14ac:dyDescent="0.2">
      <c r="A736" s="2"/>
      <c r="B736" s="2"/>
      <c r="C736" s="2"/>
      <c r="D736" s="2"/>
    </row>
    <row r="737" spans="1:4" x14ac:dyDescent="0.2">
      <c r="A737" s="2"/>
      <c r="B737" s="2"/>
      <c r="C737" s="2"/>
      <c r="D737" s="2"/>
    </row>
    <row r="738" spans="1:4" x14ac:dyDescent="0.2">
      <c r="A738" s="2"/>
      <c r="B738" s="2"/>
      <c r="C738" s="2"/>
      <c r="D738" s="2"/>
    </row>
    <row r="739" spans="1:4" x14ac:dyDescent="0.2">
      <c r="A739" s="2"/>
      <c r="B739" s="2"/>
      <c r="C739" s="2"/>
      <c r="D739" s="2"/>
    </row>
    <row r="740" spans="1:4" x14ac:dyDescent="0.2">
      <c r="A740" s="2"/>
      <c r="B740" s="2"/>
      <c r="C740" s="2"/>
      <c r="D740" s="2"/>
    </row>
    <row r="741" spans="1:4" x14ac:dyDescent="0.2">
      <c r="A741" s="2"/>
      <c r="B741" s="2"/>
      <c r="C741" s="2"/>
      <c r="D741" s="2"/>
    </row>
    <row r="742" spans="1:4" x14ac:dyDescent="0.2">
      <c r="A742" s="2"/>
      <c r="B742" s="2"/>
      <c r="C742" s="2"/>
      <c r="D742" s="2"/>
    </row>
    <row r="743" spans="1:4" x14ac:dyDescent="0.2">
      <c r="A743" s="2"/>
      <c r="B743" s="2"/>
      <c r="C743" s="2"/>
      <c r="D743" s="2"/>
    </row>
    <row r="744" spans="1:4" x14ac:dyDescent="0.2">
      <c r="A744" s="2"/>
      <c r="B744" s="2"/>
      <c r="C744" s="2"/>
      <c r="D744" s="2"/>
    </row>
    <row r="745" spans="1:4" x14ac:dyDescent="0.2">
      <c r="A745" s="2"/>
      <c r="B745" s="2"/>
      <c r="C745" s="2"/>
      <c r="D745" s="2"/>
    </row>
    <row r="746" spans="1:4" x14ac:dyDescent="0.2">
      <c r="A746" s="2"/>
      <c r="B746" s="2"/>
      <c r="C746" s="2"/>
      <c r="D746" s="2"/>
    </row>
    <row r="747" spans="1:4" x14ac:dyDescent="0.2">
      <c r="A747" s="2"/>
      <c r="B747" s="2"/>
      <c r="C747" s="2"/>
      <c r="D747" s="2"/>
    </row>
    <row r="748" spans="1:4" x14ac:dyDescent="0.2">
      <c r="A748" s="2"/>
      <c r="B748" s="2"/>
      <c r="C748" s="2"/>
      <c r="D748" s="2"/>
    </row>
    <row r="749" spans="1:4" x14ac:dyDescent="0.2">
      <c r="A749" s="2"/>
      <c r="B749" s="2"/>
      <c r="C749" s="2"/>
      <c r="D749" s="2"/>
    </row>
    <row r="750" spans="1:4" x14ac:dyDescent="0.2">
      <c r="A750" s="2"/>
      <c r="B750" s="2"/>
      <c r="C750" s="2"/>
      <c r="D750" s="2"/>
    </row>
    <row r="751" spans="1:4" x14ac:dyDescent="0.2">
      <c r="A751" s="2"/>
      <c r="B751" s="2"/>
      <c r="C751" s="2"/>
      <c r="D751" s="2"/>
    </row>
    <row r="752" spans="1:4" x14ac:dyDescent="0.2">
      <c r="A752" s="2"/>
      <c r="B752" s="2"/>
      <c r="C752" s="2"/>
      <c r="D752" s="2"/>
    </row>
    <row r="753" spans="1:4" x14ac:dyDescent="0.2">
      <c r="A753" s="2"/>
      <c r="B753" s="2"/>
      <c r="C753" s="2"/>
      <c r="D753" s="2"/>
    </row>
    <row r="754" spans="1:4" x14ac:dyDescent="0.2">
      <c r="A754" s="2"/>
      <c r="B754" s="2"/>
      <c r="C754" s="2"/>
      <c r="D754" s="2"/>
    </row>
    <row r="755" spans="1:4" x14ac:dyDescent="0.2">
      <c r="A755" s="2"/>
      <c r="B755" s="2"/>
      <c r="C755" s="2"/>
      <c r="D755" s="2"/>
    </row>
    <row r="756" spans="1:4" x14ac:dyDescent="0.2">
      <c r="A756" s="2"/>
      <c r="B756" s="2"/>
      <c r="C756" s="2"/>
      <c r="D756" s="2"/>
    </row>
    <row r="757" spans="1:4" x14ac:dyDescent="0.2">
      <c r="A757" s="2"/>
      <c r="B757" s="2"/>
      <c r="C757" s="2"/>
      <c r="D757" s="2"/>
    </row>
    <row r="758" spans="1:4" x14ac:dyDescent="0.2">
      <c r="A758" s="2"/>
      <c r="B758" s="2"/>
      <c r="C758" s="2"/>
      <c r="D758" s="2"/>
    </row>
    <row r="759" spans="1:4" x14ac:dyDescent="0.2">
      <c r="A759" s="2"/>
      <c r="B759" s="2"/>
      <c r="C759" s="2"/>
      <c r="D759" s="2"/>
    </row>
    <row r="760" spans="1:4" x14ac:dyDescent="0.2">
      <c r="A760" s="2"/>
      <c r="B760" s="2"/>
      <c r="C760" s="2"/>
      <c r="D760" s="2"/>
    </row>
    <row r="761" spans="1:4" x14ac:dyDescent="0.2">
      <c r="A761" s="2"/>
      <c r="B761" s="2"/>
      <c r="C761" s="2"/>
      <c r="D761" s="2"/>
    </row>
    <row r="762" spans="1:4" x14ac:dyDescent="0.2">
      <c r="A762" s="2"/>
      <c r="B762" s="2"/>
      <c r="C762" s="2"/>
      <c r="D762" s="2"/>
    </row>
    <row r="763" spans="1:4" x14ac:dyDescent="0.2">
      <c r="A763" s="2"/>
      <c r="B763" s="2"/>
      <c r="C763" s="2"/>
      <c r="D763" s="2"/>
    </row>
    <row r="764" spans="1:4" x14ac:dyDescent="0.2">
      <c r="A764" s="2"/>
      <c r="B764" s="2"/>
      <c r="C764" s="2"/>
      <c r="D764" s="2"/>
    </row>
    <row r="765" spans="1:4" x14ac:dyDescent="0.2">
      <c r="A765" s="2"/>
      <c r="B765" s="2"/>
      <c r="C765" s="2"/>
      <c r="D765" s="2"/>
    </row>
    <row r="766" spans="1:4" x14ac:dyDescent="0.2">
      <c r="A766" s="2"/>
      <c r="B766" s="2"/>
      <c r="C766" s="2"/>
      <c r="D766" s="2"/>
    </row>
    <row r="767" spans="1:4" x14ac:dyDescent="0.2">
      <c r="A767" s="2"/>
      <c r="B767" s="2"/>
      <c r="C767" s="2"/>
      <c r="D767" s="2"/>
    </row>
    <row r="768" spans="1:4" x14ac:dyDescent="0.2">
      <c r="A768" s="2"/>
      <c r="B768" s="2"/>
      <c r="C768" s="2"/>
      <c r="D768" s="2"/>
    </row>
    <row r="769" spans="1:4" x14ac:dyDescent="0.2">
      <c r="A769" s="2"/>
      <c r="B769" s="2"/>
      <c r="C769" s="2"/>
      <c r="D769" s="2"/>
    </row>
    <row r="770" spans="1:4" x14ac:dyDescent="0.2">
      <c r="A770" s="2"/>
      <c r="B770" s="2"/>
      <c r="C770" s="2"/>
      <c r="D770" s="2"/>
    </row>
    <row r="771" spans="1:4" x14ac:dyDescent="0.2">
      <c r="A771" s="2"/>
      <c r="B771" s="2"/>
      <c r="C771" s="2"/>
      <c r="D771" s="2"/>
    </row>
    <row r="772" spans="1:4" x14ac:dyDescent="0.2">
      <c r="A772" s="2"/>
      <c r="B772" s="2"/>
      <c r="C772" s="2"/>
      <c r="D772" s="2"/>
    </row>
    <row r="773" spans="1:4" x14ac:dyDescent="0.2">
      <c r="A773" s="2"/>
      <c r="B773" s="2"/>
      <c r="C773" s="2"/>
      <c r="D773" s="2"/>
    </row>
    <row r="774" spans="1:4" x14ac:dyDescent="0.2">
      <c r="A774" s="2"/>
      <c r="B774" s="2"/>
      <c r="C774" s="2"/>
      <c r="D774" s="2"/>
    </row>
    <row r="775" spans="1:4" x14ac:dyDescent="0.2">
      <c r="A775" s="2"/>
      <c r="B775" s="2"/>
      <c r="C775" s="2"/>
      <c r="D775" s="2"/>
    </row>
    <row r="776" spans="1:4" x14ac:dyDescent="0.2">
      <c r="A776" s="2"/>
      <c r="B776" s="2"/>
      <c r="C776" s="2"/>
      <c r="D776" s="2"/>
    </row>
    <row r="777" spans="1:4" x14ac:dyDescent="0.2">
      <c r="A777" s="2"/>
      <c r="B777" s="2"/>
      <c r="C777" s="2"/>
      <c r="D777" s="2"/>
    </row>
    <row r="778" spans="1:4" x14ac:dyDescent="0.2">
      <c r="A778" s="2"/>
      <c r="B778" s="2"/>
      <c r="C778" s="2"/>
      <c r="D778" s="2"/>
    </row>
    <row r="779" spans="1:4" x14ac:dyDescent="0.2">
      <c r="A779" s="2"/>
      <c r="B779" s="2"/>
      <c r="C779" s="2"/>
      <c r="D779" s="2"/>
    </row>
    <row r="780" spans="1:4" x14ac:dyDescent="0.2">
      <c r="A780" s="2"/>
      <c r="B780" s="2"/>
      <c r="C780" s="2"/>
      <c r="D780" s="2"/>
    </row>
    <row r="781" spans="1:4" x14ac:dyDescent="0.2">
      <c r="A781" s="2"/>
      <c r="B781" s="2"/>
      <c r="C781" s="2"/>
      <c r="D781" s="2"/>
    </row>
    <row r="782" spans="1:4" x14ac:dyDescent="0.2">
      <c r="A782" s="2"/>
      <c r="B782" s="2"/>
      <c r="C782" s="2"/>
      <c r="D782" s="2"/>
    </row>
    <row r="783" spans="1:4" x14ac:dyDescent="0.2">
      <c r="A783" s="2"/>
      <c r="B783" s="2"/>
      <c r="C783" s="2"/>
      <c r="D783" s="2"/>
    </row>
    <row r="784" spans="1:4" x14ac:dyDescent="0.2">
      <c r="A784" s="2"/>
      <c r="B784" s="2"/>
      <c r="C784" s="2"/>
      <c r="D784" s="2"/>
    </row>
    <row r="785" spans="1:4" x14ac:dyDescent="0.2">
      <c r="A785" s="2"/>
      <c r="B785" s="2"/>
      <c r="C785" s="2"/>
      <c r="D785" s="2"/>
    </row>
    <row r="786" spans="1:4" x14ac:dyDescent="0.2">
      <c r="A786" s="2"/>
      <c r="B786" s="2"/>
      <c r="C786" s="2"/>
      <c r="D786" s="2"/>
    </row>
    <row r="787" spans="1:4" x14ac:dyDescent="0.2">
      <c r="A787" s="2"/>
      <c r="B787" s="2"/>
      <c r="C787" s="2"/>
      <c r="D787" s="2"/>
    </row>
    <row r="788" spans="1:4" x14ac:dyDescent="0.2">
      <c r="A788" s="2"/>
      <c r="B788" s="2"/>
      <c r="C788" s="2"/>
      <c r="D788" s="2"/>
    </row>
    <row r="789" spans="1:4" x14ac:dyDescent="0.2">
      <c r="A789" s="2"/>
      <c r="B789" s="2"/>
      <c r="C789" s="2"/>
      <c r="D789" s="2"/>
    </row>
    <row r="790" spans="1:4" x14ac:dyDescent="0.2">
      <c r="A790" s="2"/>
      <c r="B790" s="2"/>
      <c r="C790" s="2"/>
      <c r="D790" s="2"/>
    </row>
    <row r="791" spans="1:4" x14ac:dyDescent="0.2">
      <c r="A791" s="2"/>
      <c r="B791" s="2"/>
      <c r="C791" s="2"/>
      <c r="D791" s="2"/>
    </row>
    <row r="792" spans="1:4" x14ac:dyDescent="0.2">
      <c r="A792" s="2"/>
      <c r="B792" s="2"/>
      <c r="C792" s="2"/>
      <c r="D792" s="2"/>
    </row>
    <row r="793" spans="1:4" x14ac:dyDescent="0.2">
      <c r="A793" s="2"/>
      <c r="B793" s="2"/>
      <c r="C793" s="2"/>
      <c r="D793" s="2"/>
    </row>
    <row r="794" spans="1:4" x14ac:dyDescent="0.2">
      <c r="A794" s="2"/>
      <c r="B794" s="2"/>
      <c r="C794" s="2"/>
      <c r="D794" s="2"/>
    </row>
    <row r="795" spans="1:4" x14ac:dyDescent="0.2">
      <c r="A795" s="2"/>
      <c r="B795" s="2"/>
      <c r="C795" s="2"/>
      <c r="D795" s="2"/>
    </row>
    <row r="796" spans="1:4" x14ac:dyDescent="0.2">
      <c r="A796" s="2"/>
      <c r="B796" s="2"/>
      <c r="C796" s="2"/>
      <c r="D796" s="2"/>
    </row>
    <row r="797" spans="1:4" x14ac:dyDescent="0.2">
      <c r="A797" s="2"/>
      <c r="B797" s="2"/>
      <c r="C797" s="2"/>
      <c r="D797" s="2"/>
    </row>
    <row r="798" spans="1:4" x14ac:dyDescent="0.2">
      <c r="A798" s="2"/>
      <c r="B798" s="2"/>
      <c r="C798" s="2"/>
      <c r="D798" s="2"/>
    </row>
    <row r="799" spans="1:4" x14ac:dyDescent="0.2">
      <c r="A799" s="2"/>
      <c r="B799" s="2"/>
      <c r="C799" s="2"/>
      <c r="D799" s="2"/>
    </row>
    <row r="800" spans="1:4" x14ac:dyDescent="0.2">
      <c r="A800" s="2"/>
      <c r="B800" s="2"/>
      <c r="C800" s="2"/>
      <c r="D800" s="2"/>
    </row>
    <row r="801" spans="1:4" x14ac:dyDescent="0.2">
      <c r="A801" s="2"/>
      <c r="B801" s="2"/>
      <c r="C801" s="2"/>
      <c r="D801" s="2"/>
    </row>
    <row r="802" spans="1:4" x14ac:dyDescent="0.2">
      <c r="A802" s="2"/>
      <c r="B802" s="2"/>
      <c r="C802" s="2"/>
      <c r="D802" s="2"/>
    </row>
    <row r="803" spans="1:4" x14ac:dyDescent="0.2">
      <c r="A803" s="2"/>
      <c r="B803" s="2"/>
      <c r="C803" s="2"/>
      <c r="D803" s="2"/>
    </row>
    <row r="804" spans="1:4" x14ac:dyDescent="0.2">
      <c r="A804" s="2"/>
      <c r="B804" s="2"/>
      <c r="C804" s="2"/>
      <c r="D804" s="2"/>
    </row>
    <row r="805" spans="1:4" x14ac:dyDescent="0.2">
      <c r="A805" s="2"/>
      <c r="B805" s="2"/>
      <c r="C805" s="2"/>
      <c r="D805" s="2"/>
    </row>
    <row r="806" spans="1:4" x14ac:dyDescent="0.2">
      <c r="A806" s="2"/>
      <c r="B806" s="2"/>
      <c r="C806" s="2"/>
      <c r="D806" s="2"/>
    </row>
    <row r="807" spans="1:4" x14ac:dyDescent="0.2">
      <c r="A807" s="2"/>
      <c r="B807" s="2"/>
      <c r="C807" s="2"/>
      <c r="D807" s="2"/>
    </row>
    <row r="808" spans="1:4" x14ac:dyDescent="0.2">
      <c r="A808" s="2"/>
      <c r="B808" s="2"/>
      <c r="C808" s="2"/>
      <c r="D808" s="2"/>
    </row>
    <row r="809" spans="1:4" x14ac:dyDescent="0.2">
      <c r="A809" s="2"/>
      <c r="B809" s="2"/>
      <c r="C809" s="2"/>
      <c r="D809" s="2"/>
    </row>
    <row r="810" spans="1:4" x14ac:dyDescent="0.2">
      <c r="A810" s="2"/>
      <c r="B810" s="2"/>
      <c r="C810" s="2"/>
      <c r="D810" s="2"/>
    </row>
    <row r="811" spans="1:4" x14ac:dyDescent="0.2">
      <c r="A811" s="2"/>
      <c r="B811" s="2"/>
      <c r="C811" s="2"/>
      <c r="D811" s="2"/>
    </row>
    <row r="812" spans="1:4" x14ac:dyDescent="0.2">
      <c r="A812" s="2"/>
      <c r="B812" s="2"/>
      <c r="C812" s="2"/>
      <c r="D812" s="2"/>
    </row>
    <row r="813" spans="1:4" x14ac:dyDescent="0.2">
      <c r="A813" s="2"/>
      <c r="B813" s="2"/>
      <c r="C813" s="2"/>
      <c r="D813" s="2"/>
    </row>
    <row r="814" spans="1:4" x14ac:dyDescent="0.2">
      <c r="A814" s="2"/>
      <c r="B814" s="2"/>
      <c r="C814" s="2"/>
      <c r="D814" s="2"/>
    </row>
    <row r="815" spans="1:4" x14ac:dyDescent="0.2">
      <c r="A815" s="2"/>
      <c r="B815" s="2"/>
      <c r="C815" s="2"/>
      <c r="D815" s="2"/>
    </row>
    <row r="816" spans="1:4" x14ac:dyDescent="0.2">
      <c r="A816" s="2"/>
      <c r="B816" s="2"/>
      <c r="C816" s="2"/>
      <c r="D816" s="2"/>
    </row>
    <row r="817" spans="1:4" x14ac:dyDescent="0.2">
      <c r="A817" s="2"/>
      <c r="B817" s="2"/>
      <c r="C817" s="2"/>
      <c r="D817" s="2"/>
    </row>
    <row r="818" spans="1:4" x14ac:dyDescent="0.2">
      <c r="A818" s="2"/>
      <c r="B818" s="2"/>
      <c r="C818" s="2"/>
      <c r="D818" s="2"/>
    </row>
    <row r="819" spans="1:4" x14ac:dyDescent="0.2">
      <c r="A819" s="2"/>
      <c r="B819" s="2"/>
      <c r="C819" s="2"/>
      <c r="D819" s="2"/>
    </row>
    <row r="820" spans="1:4" x14ac:dyDescent="0.2">
      <c r="A820" s="2"/>
      <c r="B820" s="2"/>
      <c r="C820" s="2"/>
      <c r="D820" s="2"/>
    </row>
    <row r="821" spans="1:4" x14ac:dyDescent="0.2">
      <c r="A821" s="2"/>
      <c r="B821" s="2"/>
      <c r="C821" s="2"/>
      <c r="D821" s="2"/>
    </row>
    <row r="822" spans="1:4" x14ac:dyDescent="0.2">
      <c r="A822" s="2"/>
      <c r="B822" s="2"/>
      <c r="C822" s="2"/>
      <c r="D822" s="2"/>
    </row>
    <row r="823" spans="1:4" x14ac:dyDescent="0.2">
      <c r="A823" s="2"/>
      <c r="B823" s="2"/>
      <c r="C823" s="2"/>
      <c r="D823" s="2"/>
    </row>
    <row r="824" spans="1:4" x14ac:dyDescent="0.2">
      <c r="A824" s="2"/>
      <c r="B824" s="2"/>
      <c r="C824" s="2"/>
      <c r="D824" s="2"/>
    </row>
    <row r="825" spans="1:4" x14ac:dyDescent="0.2">
      <c r="A825" s="2"/>
      <c r="B825" s="2"/>
      <c r="C825" s="2"/>
      <c r="D825" s="2"/>
    </row>
    <row r="826" spans="1:4" x14ac:dyDescent="0.2">
      <c r="A826" s="2"/>
      <c r="B826" s="2"/>
      <c r="C826" s="2"/>
      <c r="D826" s="2"/>
    </row>
    <row r="827" spans="1:4" x14ac:dyDescent="0.2">
      <c r="A827" s="2"/>
      <c r="B827" s="2"/>
      <c r="C827" s="2"/>
      <c r="D827" s="2"/>
    </row>
    <row r="828" spans="1:4" x14ac:dyDescent="0.2">
      <c r="A828" s="2"/>
      <c r="B828" s="2"/>
      <c r="C828" s="2"/>
      <c r="D828" s="2"/>
    </row>
    <row r="829" spans="1:4" x14ac:dyDescent="0.2">
      <c r="A829" s="2"/>
      <c r="B829" s="2"/>
      <c r="C829" s="2"/>
      <c r="D829" s="2"/>
    </row>
    <row r="830" spans="1:4" x14ac:dyDescent="0.2">
      <c r="A830" s="2"/>
      <c r="B830" s="2"/>
      <c r="C830" s="2"/>
      <c r="D830" s="2"/>
    </row>
    <row r="831" spans="1:4" x14ac:dyDescent="0.2">
      <c r="A831" s="2"/>
      <c r="B831" s="2"/>
      <c r="C831" s="2"/>
      <c r="D831" s="2"/>
    </row>
    <row r="832" spans="1:4" x14ac:dyDescent="0.2">
      <c r="A832" s="2"/>
      <c r="B832" s="2"/>
      <c r="C832" s="2"/>
      <c r="D832" s="2"/>
    </row>
    <row r="833" spans="1:4" x14ac:dyDescent="0.2">
      <c r="A833" s="2"/>
      <c r="B833" s="2"/>
      <c r="C833" s="2"/>
      <c r="D833" s="2"/>
    </row>
    <row r="834" spans="1:4" x14ac:dyDescent="0.2">
      <c r="A834" s="2"/>
      <c r="B834" s="2"/>
      <c r="C834" s="2"/>
      <c r="D834" s="2"/>
    </row>
    <row r="835" spans="1:4" x14ac:dyDescent="0.2">
      <c r="A835" s="2"/>
      <c r="B835" s="2"/>
      <c r="C835" s="2"/>
      <c r="D835" s="2"/>
    </row>
    <row r="836" spans="1:4" x14ac:dyDescent="0.2">
      <c r="A836" s="2"/>
      <c r="B836" s="2"/>
      <c r="C836" s="2"/>
      <c r="D836" s="2"/>
    </row>
    <row r="837" spans="1:4" x14ac:dyDescent="0.2">
      <c r="A837" s="2"/>
      <c r="B837" s="2"/>
      <c r="C837" s="2"/>
      <c r="D837" s="2"/>
    </row>
    <row r="838" spans="1:4" x14ac:dyDescent="0.2">
      <c r="A838" s="2"/>
      <c r="B838" s="2"/>
      <c r="C838" s="2"/>
      <c r="D838" s="2"/>
    </row>
    <row r="839" spans="1:4" x14ac:dyDescent="0.2">
      <c r="A839" s="2"/>
      <c r="B839" s="2"/>
      <c r="C839" s="2"/>
      <c r="D839" s="2"/>
    </row>
    <row r="840" spans="1:4" x14ac:dyDescent="0.2">
      <c r="A840" s="2"/>
      <c r="B840" s="2"/>
      <c r="C840" s="2"/>
      <c r="D840" s="2"/>
    </row>
    <row r="841" spans="1:4" x14ac:dyDescent="0.2">
      <c r="A841" s="2"/>
      <c r="B841" s="2"/>
      <c r="C841" s="2"/>
      <c r="D841" s="2"/>
    </row>
    <row r="842" spans="1:4" x14ac:dyDescent="0.2">
      <c r="A842" s="2"/>
      <c r="B842" s="2"/>
      <c r="C842" s="2"/>
      <c r="D842" s="2"/>
    </row>
    <row r="843" spans="1:4" x14ac:dyDescent="0.2">
      <c r="A843" s="2"/>
      <c r="B843" s="2"/>
      <c r="C843" s="2"/>
      <c r="D843" s="2"/>
    </row>
    <row r="844" spans="1:4" x14ac:dyDescent="0.2">
      <c r="A844" s="2"/>
      <c r="B844" s="2"/>
      <c r="C844" s="2"/>
      <c r="D844" s="2"/>
    </row>
    <row r="845" spans="1:4" x14ac:dyDescent="0.2">
      <c r="A845" s="2"/>
      <c r="B845" s="2"/>
      <c r="C845" s="2"/>
      <c r="D845" s="2"/>
    </row>
    <row r="846" spans="1:4" x14ac:dyDescent="0.2">
      <c r="A846" s="2"/>
      <c r="B846" s="2"/>
      <c r="C846" s="2"/>
      <c r="D846" s="2"/>
    </row>
    <row r="847" spans="1:4" x14ac:dyDescent="0.2">
      <c r="A847" s="2"/>
      <c r="B847" s="2"/>
      <c r="C847" s="2"/>
      <c r="D847" s="2"/>
    </row>
    <row r="848" spans="1:4" x14ac:dyDescent="0.2">
      <c r="A848" s="2"/>
      <c r="B848" s="2"/>
      <c r="C848" s="2"/>
      <c r="D848" s="2"/>
    </row>
    <row r="849" spans="1:4" x14ac:dyDescent="0.2">
      <c r="A849" s="2"/>
      <c r="B849" s="2"/>
      <c r="C849" s="2"/>
      <c r="D849" s="2"/>
    </row>
    <row r="850" spans="1:4" x14ac:dyDescent="0.2">
      <c r="A850" s="2"/>
      <c r="B850" s="2"/>
      <c r="C850" s="2"/>
      <c r="D850" s="2"/>
    </row>
    <row r="851" spans="1:4" x14ac:dyDescent="0.2">
      <c r="A851" s="2"/>
      <c r="B851" s="2"/>
      <c r="C851" s="2"/>
      <c r="D851" s="2"/>
    </row>
    <row r="852" spans="1:4" x14ac:dyDescent="0.2">
      <c r="A852" s="2"/>
      <c r="B852" s="2"/>
      <c r="C852" s="2"/>
      <c r="D852" s="2"/>
    </row>
    <row r="853" spans="1:4" x14ac:dyDescent="0.2">
      <c r="A853" s="2"/>
      <c r="B853" s="2"/>
      <c r="C853" s="2"/>
      <c r="D853" s="2"/>
    </row>
    <row r="854" spans="1:4" x14ac:dyDescent="0.2">
      <c r="A854" s="2"/>
      <c r="B854" s="2"/>
      <c r="C854" s="2"/>
      <c r="D854" s="2"/>
    </row>
    <row r="855" spans="1:4" x14ac:dyDescent="0.2">
      <c r="A855" s="2"/>
      <c r="B855" s="2"/>
      <c r="C855" s="2"/>
      <c r="D855" s="2"/>
    </row>
    <row r="856" spans="1:4" x14ac:dyDescent="0.2">
      <c r="A856" s="2"/>
      <c r="B856" s="2"/>
      <c r="C856" s="2"/>
      <c r="D856" s="2"/>
    </row>
    <row r="857" spans="1:4" x14ac:dyDescent="0.2">
      <c r="A857" s="2"/>
      <c r="B857" s="2"/>
      <c r="C857" s="2"/>
      <c r="D857" s="2"/>
    </row>
    <row r="858" spans="1:4" x14ac:dyDescent="0.2">
      <c r="A858" s="2"/>
      <c r="B858" s="2"/>
      <c r="C858" s="2"/>
      <c r="D858" s="2"/>
    </row>
    <row r="859" spans="1:4" x14ac:dyDescent="0.2">
      <c r="A859" s="2"/>
      <c r="B859" s="2"/>
      <c r="C859" s="2"/>
      <c r="D859" s="2"/>
    </row>
    <row r="860" spans="1:4" x14ac:dyDescent="0.2">
      <c r="A860" s="2"/>
      <c r="B860" s="2"/>
      <c r="C860" s="2"/>
      <c r="D860" s="2"/>
    </row>
    <row r="861" spans="1:4" x14ac:dyDescent="0.2">
      <c r="A861" s="2"/>
      <c r="B861" s="2"/>
      <c r="C861" s="2"/>
      <c r="D861" s="2"/>
    </row>
    <row r="862" spans="1:4" x14ac:dyDescent="0.2">
      <c r="A862" s="2"/>
      <c r="B862" s="2"/>
      <c r="C862" s="2"/>
      <c r="D862" s="2"/>
    </row>
    <row r="863" spans="1:4" x14ac:dyDescent="0.2">
      <c r="A863" s="2"/>
      <c r="B863" s="2"/>
      <c r="C863" s="2"/>
      <c r="D863" s="2"/>
    </row>
    <row r="864" spans="1:4" x14ac:dyDescent="0.2">
      <c r="A864" s="2"/>
      <c r="B864" s="2"/>
      <c r="C864" s="2"/>
      <c r="D864" s="2"/>
    </row>
    <row r="865" spans="1:4" x14ac:dyDescent="0.2">
      <c r="A865" s="2"/>
      <c r="B865" s="2"/>
      <c r="C865" s="2"/>
      <c r="D865" s="2"/>
    </row>
    <row r="866" spans="1:4" x14ac:dyDescent="0.2">
      <c r="A866" s="2"/>
      <c r="B866" s="2"/>
      <c r="C866" s="2"/>
      <c r="D866" s="2"/>
    </row>
    <row r="867" spans="1:4" x14ac:dyDescent="0.2">
      <c r="A867" s="2"/>
      <c r="B867" s="2"/>
      <c r="C867" s="2"/>
      <c r="D867" s="2"/>
    </row>
    <row r="868" spans="1:4" x14ac:dyDescent="0.2">
      <c r="A868" s="2"/>
      <c r="B868" s="2"/>
      <c r="C868" s="2"/>
      <c r="D868" s="2"/>
    </row>
    <row r="869" spans="1:4" x14ac:dyDescent="0.2">
      <c r="A869" s="2"/>
      <c r="B869" s="2"/>
      <c r="C869" s="2"/>
      <c r="D869" s="2"/>
    </row>
    <row r="870" spans="1:4" x14ac:dyDescent="0.2">
      <c r="A870" s="2"/>
      <c r="B870" s="2"/>
      <c r="C870" s="2"/>
      <c r="D870" s="2"/>
    </row>
    <row r="871" spans="1:4" x14ac:dyDescent="0.2">
      <c r="A871" s="2"/>
      <c r="B871" s="2"/>
      <c r="C871" s="2"/>
      <c r="D871" s="2"/>
    </row>
    <row r="872" spans="1:4" x14ac:dyDescent="0.2">
      <c r="A872" s="2"/>
      <c r="B872" s="2"/>
      <c r="C872" s="2"/>
      <c r="D872" s="2"/>
    </row>
    <row r="873" spans="1:4" x14ac:dyDescent="0.2">
      <c r="A873" s="2"/>
      <c r="B873" s="2"/>
      <c r="C873" s="2"/>
      <c r="D873" s="2"/>
    </row>
    <row r="874" spans="1:4" x14ac:dyDescent="0.2">
      <c r="A874" s="2"/>
      <c r="B874" s="2"/>
      <c r="C874" s="2"/>
      <c r="D874" s="2"/>
    </row>
    <row r="875" spans="1:4" x14ac:dyDescent="0.2">
      <c r="A875" s="2"/>
      <c r="B875" s="2"/>
      <c r="C875" s="2"/>
      <c r="D875" s="2"/>
    </row>
    <row r="876" spans="1:4" x14ac:dyDescent="0.2">
      <c r="A876" s="2"/>
      <c r="B876" s="2"/>
      <c r="C876" s="2"/>
      <c r="D876" s="2"/>
    </row>
    <row r="877" spans="1:4" x14ac:dyDescent="0.2">
      <c r="A877" s="2"/>
      <c r="B877" s="2"/>
      <c r="C877" s="2"/>
      <c r="D877" s="2"/>
    </row>
    <row r="878" spans="1:4" x14ac:dyDescent="0.2">
      <c r="A878" s="2"/>
      <c r="B878" s="2"/>
      <c r="C878" s="2"/>
      <c r="D878" s="2"/>
    </row>
    <row r="879" spans="1:4" x14ac:dyDescent="0.2">
      <c r="A879" s="2"/>
      <c r="B879" s="2"/>
      <c r="C879" s="2"/>
      <c r="D879" s="2"/>
    </row>
    <row r="880" spans="1:4" x14ac:dyDescent="0.2">
      <c r="A880" s="2"/>
      <c r="B880" s="2"/>
      <c r="C880" s="2"/>
      <c r="D880" s="2"/>
    </row>
    <row r="881" spans="1:4" x14ac:dyDescent="0.2">
      <c r="A881" s="2"/>
      <c r="B881" s="2"/>
      <c r="C881" s="2"/>
      <c r="D881" s="2"/>
    </row>
    <row r="882" spans="1:4" x14ac:dyDescent="0.2">
      <c r="A882" s="2"/>
      <c r="B882" s="2"/>
      <c r="C882" s="2"/>
      <c r="D882" s="2"/>
    </row>
    <row r="883" spans="1:4" x14ac:dyDescent="0.2">
      <c r="A883" s="2"/>
      <c r="B883" s="2"/>
      <c r="C883" s="2"/>
      <c r="D883" s="2"/>
    </row>
    <row r="884" spans="1:4" x14ac:dyDescent="0.2">
      <c r="A884" s="2"/>
      <c r="B884" s="2"/>
      <c r="C884" s="2"/>
      <c r="D884" s="2"/>
    </row>
    <row r="885" spans="1:4" x14ac:dyDescent="0.2">
      <c r="A885" s="2"/>
      <c r="B885" s="2"/>
      <c r="C885" s="2"/>
      <c r="D885" s="2"/>
    </row>
    <row r="886" spans="1:4" x14ac:dyDescent="0.2">
      <c r="A886" s="2"/>
      <c r="B886" s="2"/>
      <c r="C886" s="2"/>
      <c r="D886" s="2"/>
    </row>
    <row r="887" spans="1:4" x14ac:dyDescent="0.2">
      <c r="A887" s="2"/>
      <c r="B887" s="2"/>
      <c r="C887" s="2"/>
      <c r="D887" s="2"/>
    </row>
    <row r="888" spans="1:4" x14ac:dyDescent="0.2">
      <c r="A888" s="2"/>
      <c r="B888" s="2"/>
      <c r="C888" s="2"/>
      <c r="D888" s="2"/>
    </row>
    <row r="889" spans="1:4" x14ac:dyDescent="0.2">
      <c r="A889" s="2"/>
      <c r="B889" s="2"/>
      <c r="C889" s="2"/>
      <c r="D889" s="2"/>
    </row>
    <row r="890" spans="1:4" x14ac:dyDescent="0.2">
      <c r="A890" s="2"/>
      <c r="B890" s="2"/>
      <c r="C890" s="2"/>
      <c r="D890" s="2"/>
    </row>
    <row r="891" spans="1:4" x14ac:dyDescent="0.2">
      <c r="A891" s="2"/>
      <c r="B891" s="2"/>
      <c r="C891" s="2"/>
      <c r="D891" s="2"/>
    </row>
    <row r="892" spans="1:4" x14ac:dyDescent="0.2">
      <c r="A892" s="2"/>
      <c r="B892" s="2"/>
      <c r="C892" s="2"/>
      <c r="D892" s="2"/>
    </row>
    <row r="893" spans="1:4" x14ac:dyDescent="0.2">
      <c r="A893" s="2"/>
      <c r="B893" s="2"/>
      <c r="C893" s="2"/>
      <c r="D893" s="2"/>
    </row>
    <row r="894" spans="1:4" x14ac:dyDescent="0.2">
      <c r="A894" s="2"/>
      <c r="B894" s="2"/>
      <c r="C894" s="2"/>
      <c r="D894" s="2"/>
    </row>
    <row r="895" spans="1:4" x14ac:dyDescent="0.2">
      <c r="A895" s="2"/>
      <c r="B895" s="2"/>
      <c r="C895" s="2"/>
      <c r="D895" s="2"/>
    </row>
    <row r="896" spans="1:4" x14ac:dyDescent="0.2">
      <c r="A896" s="2"/>
      <c r="B896" s="2"/>
      <c r="C896" s="2"/>
      <c r="D896" s="2"/>
    </row>
    <row r="897" spans="1:4" x14ac:dyDescent="0.2">
      <c r="A897" s="2"/>
      <c r="B897" s="2"/>
      <c r="C897" s="2"/>
      <c r="D897" s="2"/>
    </row>
    <row r="898" spans="1:4" x14ac:dyDescent="0.2">
      <c r="A898" s="2"/>
      <c r="B898" s="2"/>
      <c r="C898" s="2"/>
      <c r="D898" s="2"/>
    </row>
    <row r="899" spans="1:4" x14ac:dyDescent="0.2">
      <c r="A899" s="2"/>
      <c r="B899" s="2"/>
      <c r="C899" s="2"/>
      <c r="D899" s="2"/>
    </row>
    <row r="900" spans="1:4" x14ac:dyDescent="0.2">
      <c r="A900" s="2"/>
      <c r="B900" s="2"/>
      <c r="C900" s="2"/>
      <c r="D900" s="2"/>
    </row>
    <row r="901" spans="1:4" x14ac:dyDescent="0.2">
      <c r="A901" s="2"/>
      <c r="B901" s="2"/>
      <c r="C901" s="2"/>
      <c r="D901" s="2"/>
    </row>
    <row r="902" spans="1:4" x14ac:dyDescent="0.2">
      <c r="A902" s="2"/>
      <c r="B902" s="2"/>
      <c r="C902" s="2"/>
      <c r="D902" s="2"/>
    </row>
    <row r="903" spans="1:4" x14ac:dyDescent="0.2">
      <c r="A903" s="2"/>
      <c r="B903" s="2"/>
      <c r="C903" s="2"/>
      <c r="D903" s="2"/>
    </row>
    <row r="904" spans="1:4" x14ac:dyDescent="0.2">
      <c r="A904" s="2"/>
      <c r="B904" s="2"/>
      <c r="C904" s="2"/>
      <c r="D904" s="2"/>
    </row>
    <row r="905" spans="1:4" x14ac:dyDescent="0.2">
      <c r="A905" s="2"/>
      <c r="B905" s="2"/>
      <c r="C905" s="2"/>
      <c r="D905" s="2"/>
    </row>
    <row r="906" spans="1:4" x14ac:dyDescent="0.2">
      <c r="A906" s="2"/>
      <c r="B906" s="2"/>
      <c r="C906" s="2"/>
      <c r="D906" s="2"/>
    </row>
    <row r="907" spans="1:4" x14ac:dyDescent="0.2">
      <c r="A907" s="2"/>
      <c r="B907" s="2"/>
      <c r="C907" s="2"/>
      <c r="D907" s="2"/>
    </row>
    <row r="908" spans="1:4" x14ac:dyDescent="0.2">
      <c r="A908" s="2"/>
      <c r="B908" s="2"/>
      <c r="C908" s="2"/>
      <c r="D908" s="2"/>
    </row>
    <row r="909" spans="1:4" x14ac:dyDescent="0.2">
      <c r="A909" s="2"/>
      <c r="B909" s="2"/>
      <c r="C909" s="2"/>
      <c r="D909" s="2"/>
    </row>
    <row r="910" spans="1:4" x14ac:dyDescent="0.2">
      <c r="A910" s="2"/>
      <c r="B910" s="2"/>
      <c r="C910" s="2"/>
      <c r="D910" s="2"/>
    </row>
    <row r="911" spans="1:4" x14ac:dyDescent="0.2">
      <c r="A911" s="2"/>
      <c r="B911" s="2"/>
      <c r="C911" s="2"/>
      <c r="D911" s="2"/>
    </row>
    <row r="912" spans="1:4" x14ac:dyDescent="0.2">
      <c r="A912" s="2"/>
      <c r="B912" s="2"/>
      <c r="C912" s="2"/>
      <c r="D912" s="2"/>
    </row>
    <row r="913" spans="1:4" x14ac:dyDescent="0.2">
      <c r="A913" s="2"/>
      <c r="B913" s="2"/>
      <c r="C913" s="2"/>
      <c r="D913" s="2"/>
    </row>
    <row r="914" spans="1:4" x14ac:dyDescent="0.2">
      <c r="A914" s="2"/>
      <c r="B914" s="2"/>
      <c r="C914" s="2"/>
      <c r="D914" s="2"/>
    </row>
    <row r="915" spans="1:4" x14ac:dyDescent="0.2">
      <c r="A915" s="2"/>
      <c r="B915" s="2"/>
      <c r="C915" s="2"/>
      <c r="D915" s="2"/>
    </row>
    <row r="916" spans="1:4" x14ac:dyDescent="0.2">
      <c r="A916" s="2"/>
      <c r="B916" s="2"/>
      <c r="C916" s="2"/>
      <c r="D916" s="2"/>
    </row>
    <row r="917" spans="1:4" x14ac:dyDescent="0.2">
      <c r="A917" s="2"/>
      <c r="B917" s="2"/>
      <c r="C917" s="2"/>
      <c r="D917" s="2"/>
    </row>
    <row r="918" spans="1:4" x14ac:dyDescent="0.2">
      <c r="A918" s="2"/>
      <c r="B918" s="2"/>
      <c r="C918" s="2"/>
      <c r="D918" s="2"/>
    </row>
    <row r="919" spans="1:4" x14ac:dyDescent="0.2">
      <c r="A919" s="2"/>
      <c r="B919" s="2"/>
      <c r="C919" s="2"/>
      <c r="D919" s="2"/>
    </row>
    <row r="920" spans="1:4" x14ac:dyDescent="0.2">
      <c r="A920" s="2"/>
      <c r="B920" s="2"/>
      <c r="C920" s="2"/>
      <c r="D920" s="2"/>
    </row>
    <row r="921" spans="1:4" x14ac:dyDescent="0.2">
      <c r="A921" s="2"/>
      <c r="B921" s="2"/>
      <c r="C921" s="2"/>
      <c r="D921" s="2"/>
    </row>
    <row r="922" spans="1:4" x14ac:dyDescent="0.2">
      <c r="A922" s="2"/>
      <c r="B922" s="2"/>
      <c r="C922" s="2"/>
      <c r="D922" s="2"/>
    </row>
    <row r="923" spans="1:4" x14ac:dyDescent="0.2">
      <c r="A923" s="2"/>
      <c r="B923" s="2"/>
      <c r="C923" s="2"/>
      <c r="D923" s="2"/>
    </row>
    <row r="924" spans="1:4" x14ac:dyDescent="0.2">
      <c r="A924" s="2"/>
      <c r="B924" s="2"/>
      <c r="C924" s="2"/>
      <c r="D924" s="2"/>
    </row>
    <row r="925" spans="1:4" x14ac:dyDescent="0.2">
      <c r="A925" s="2"/>
      <c r="B925" s="2"/>
      <c r="C925" s="2"/>
      <c r="D925" s="2"/>
    </row>
    <row r="926" spans="1:4" x14ac:dyDescent="0.2">
      <c r="A926" s="2"/>
      <c r="B926" s="2"/>
      <c r="C926" s="2"/>
      <c r="D926" s="2"/>
    </row>
    <row r="927" spans="1:4" x14ac:dyDescent="0.2">
      <c r="A927" s="2"/>
      <c r="B927" s="2"/>
      <c r="C927" s="2"/>
      <c r="D927" s="2"/>
    </row>
    <row r="928" spans="1:4" x14ac:dyDescent="0.2">
      <c r="A928" s="2"/>
      <c r="B928" s="2"/>
      <c r="C928" s="2"/>
      <c r="D928" s="2"/>
    </row>
    <row r="929" spans="1:4" x14ac:dyDescent="0.2">
      <c r="A929" s="2"/>
      <c r="B929" s="2"/>
      <c r="C929" s="2"/>
      <c r="D929" s="2"/>
    </row>
    <row r="930" spans="1:4" x14ac:dyDescent="0.2">
      <c r="A930" s="2"/>
      <c r="B930" s="2"/>
      <c r="C930" s="2"/>
      <c r="D930" s="2"/>
    </row>
    <row r="931" spans="1:4" x14ac:dyDescent="0.2">
      <c r="A931" s="2"/>
      <c r="B931" s="2"/>
      <c r="C931" s="2"/>
      <c r="D931" s="2"/>
    </row>
    <row r="932" spans="1:4" x14ac:dyDescent="0.2">
      <c r="A932" s="2"/>
      <c r="B932" s="2"/>
      <c r="C932" s="2"/>
      <c r="D932" s="2"/>
    </row>
    <row r="933" spans="1:4" x14ac:dyDescent="0.2">
      <c r="A933" s="2"/>
      <c r="B933" s="2"/>
      <c r="C933" s="2"/>
      <c r="D933" s="2"/>
    </row>
    <row r="934" spans="1:4" x14ac:dyDescent="0.2">
      <c r="A934" s="2"/>
      <c r="B934" s="2"/>
      <c r="C934" s="2"/>
      <c r="D934" s="2"/>
    </row>
    <row r="935" spans="1:4" x14ac:dyDescent="0.2">
      <c r="A935" s="2"/>
      <c r="B935" s="2"/>
      <c r="C935" s="2"/>
      <c r="D935" s="2"/>
    </row>
    <row r="936" spans="1:4" x14ac:dyDescent="0.2">
      <c r="A936" s="2"/>
      <c r="B936" s="2"/>
      <c r="C936" s="2"/>
      <c r="D936" s="2"/>
    </row>
    <row r="937" spans="1:4" x14ac:dyDescent="0.2">
      <c r="A937" s="2"/>
      <c r="B937" s="2"/>
      <c r="C937" s="2"/>
      <c r="D937" s="2"/>
    </row>
    <row r="938" spans="1:4" x14ac:dyDescent="0.2">
      <c r="A938" s="2"/>
      <c r="B938" s="2"/>
      <c r="C938" s="2"/>
      <c r="D938" s="2"/>
    </row>
    <row r="939" spans="1:4" x14ac:dyDescent="0.2">
      <c r="A939" s="2"/>
      <c r="B939" s="2"/>
      <c r="C939" s="2"/>
      <c r="D939" s="2"/>
    </row>
    <row r="940" spans="1:4" x14ac:dyDescent="0.2">
      <c r="A940" s="2"/>
      <c r="B940" s="2"/>
      <c r="C940" s="2"/>
      <c r="D940" s="2"/>
    </row>
    <row r="941" spans="1:4" x14ac:dyDescent="0.2">
      <c r="A941" s="2"/>
      <c r="B941" s="2"/>
      <c r="C941" s="2"/>
      <c r="D941" s="2"/>
    </row>
    <row r="942" spans="1:4" x14ac:dyDescent="0.2">
      <c r="A942" s="2"/>
      <c r="B942" s="2"/>
      <c r="C942" s="2"/>
      <c r="D942" s="2"/>
    </row>
    <row r="943" spans="1:4" x14ac:dyDescent="0.2">
      <c r="A943" s="2"/>
      <c r="B943" s="2"/>
      <c r="C943" s="2"/>
      <c r="D943" s="2"/>
    </row>
    <row r="944" spans="1:4" x14ac:dyDescent="0.2">
      <c r="A944" s="2"/>
      <c r="B944" s="2"/>
      <c r="C944" s="2"/>
      <c r="D944" s="2"/>
    </row>
    <row r="945" spans="1:4" x14ac:dyDescent="0.2">
      <c r="A945" s="2"/>
      <c r="B945" s="2"/>
      <c r="C945" s="2"/>
      <c r="D945" s="2"/>
    </row>
    <row r="946" spans="1:4" x14ac:dyDescent="0.2">
      <c r="A946" s="2"/>
      <c r="B946" s="2"/>
      <c r="C946" s="2"/>
      <c r="D946" s="2"/>
    </row>
    <row r="947" spans="1:4" x14ac:dyDescent="0.2">
      <c r="A947" s="2"/>
      <c r="B947" s="2"/>
      <c r="C947" s="2"/>
      <c r="D947" s="2"/>
    </row>
    <row r="948" spans="1:4" x14ac:dyDescent="0.2">
      <c r="A948" s="2"/>
      <c r="B948" s="2"/>
      <c r="C948" s="2"/>
      <c r="D948" s="2"/>
    </row>
    <row r="949" spans="1:4" x14ac:dyDescent="0.2">
      <c r="A949" s="2"/>
      <c r="B949" s="2"/>
      <c r="C949" s="2"/>
      <c r="D949" s="2"/>
    </row>
    <row r="950" spans="1:4" x14ac:dyDescent="0.2">
      <c r="A950" s="2"/>
      <c r="B950" s="2"/>
      <c r="C950" s="2"/>
      <c r="D950" s="2"/>
    </row>
    <row r="951" spans="1:4" x14ac:dyDescent="0.2">
      <c r="A951" s="2"/>
      <c r="B951" s="2"/>
      <c r="C951" s="2"/>
      <c r="D951" s="2"/>
    </row>
    <row r="952" spans="1:4" x14ac:dyDescent="0.2">
      <c r="A952" s="2"/>
      <c r="B952" s="2"/>
      <c r="C952" s="2"/>
      <c r="D952" s="2"/>
    </row>
    <row r="953" spans="1:4" x14ac:dyDescent="0.2">
      <c r="A953" s="2"/>
      <c r="B953" s="2"/>
      <c r="C953" s="2"/>
      <c r="D953" s="2"/>
    </row>
    <row r="954" spans="1:4" x14ac:dyDescent="0.2">
      <c r="A954" s="2"/>
      <c r="B954" s="2"/>
      <c r="C954" s="2"/>
      <c r="D954" s="2"/>
    </row>
    <row r="955" spans="1:4" x14ac:dyDescent="0.2">
      <c r="A955" s="2"/>
      <c r="B955" s="2"/>
      <c r="C955" s="2"/>
      <c r="D955" s="2"/>
    </row>
    <row r="956" spans="1:4" x14ac:dyDescent="0.2">
      <c r="A956" s="2"/>
      <c r="B956" s="2"/>
      <c r="C956" s="2"/>
      <c r="D956" s="2"/>
    </row>
    <row r="957" spans="1:4" x14ac:dyDescent="0.2">
      <c r="A957" s="2"/>
      <c r="B957" s="2"/>
      <c r="C957" s="2"/>
      <c r="D957" s="2"/>
    </row>
    <row r="958" spans="1:4" x14ac:dyDescent="0.2">
      <c r="A958" s="2"/>
      <c r="B958" s="2"/>
      <c r="C958" s="2"/>
      <c r="D958" s="2"/>
    </row>
    <row r="959" spans="1:4" x14ac:dyDescent="0.2">
      <c r="A959" s="2"/>
      <c r="B959" s="2"/>
      <c r="C959" s="2"/>
      <c r="D959" s="2"/>
    </row>
    <row r="960" spans="1:4" x14ac:dyDescent="0.2">
      <c r="A960" s="2"/>
      <c r="B960" s="2"/>
      <c r="C960" s="2"/>
      <c r="D960" s="2"/>
    </row>
    <row r="961" spans="1:4" x14ac:dyDescent="0.2">
      <c r="A961" s="2"/>
      <c r="B961" s="2"/>
      <c r="C961" s="2"/>
      <c r="D961" s="2"/>
    </row>
    <row r="962" spans="1:4" x14ac:dyDescent="0.2">
      <c r="A962" s="2"/>
      <c r="B962" s="2"/>
      <c r="C962" s="2"/>
      <c r="D962" s="2"/>
    </row>
    <row r="963" spans="1:4" x14ac:dyDescent="0.2">
      <c r="A963" s="2"/>
      <c r="B963" s="2"/>
      <c r="C963" s="2"/>
      <c r="D963" s="2"/>
    </row>
    <row r="964" spans="1:4" x14ac:dyDescent="0.2">
      <c r="A964" s="2"/>
      <c r="B964" s="2"/>
      <c r="C964" s="2"/>
      <c r="D964" s="2"/>
    </row>
    <row r="965" spans="1:4" x14ac:dyDescent="0.2">
      <c r="A965" s="2"/>
      <c r="B965" s="2"/>
      <c r="C965" s="2"/>
      <c r="D965" s="2"/>
    </row>
    <row r="966" spans="1:4" x14ac:dyDescent="0.2">
      <c r="A966" s="2"/>
      <c r="B966" s="2"/>
      <c r="C966" s="2"/>
      <c r="D966" s="2"/>
    </row>
    <row r="967" spans="1:4" x14ac:dyDescent="0.2">
      <c r="A967" s="2"/>
      <c r="B967" s="2"/>
      <c r="C967" s="2"/>
      <c r="D967" s="2"/>
    </row>
    <row r="968" spans="1:4" x14ac:dyDescent="0.2">
      <c r="A968" s="2"/>
      <c r="B968" s="2"/>
      <c r="C968" s="2"/>
      <c r="D968" s="2"/>
    </row>
    <row r="969" spans="1:4" x14ac:dyDescent="0.2">
      <c r="A969" s="2"/>
      <c r="B969" s="2"/>
      <c r="C969" s="2"/>
      <c r="D969" s="2"/>
    </row>
    <row r="970" spans="1:4" x14ac:dyDescent="0.2">
      <c r="A970" s="2"/>
      <c r="B970" s="2"/>
      <c r="C970" s="2"/>
      <c r="D970" s="2"/>
    </row>
    <row r="971" spans="1:4" x14ac:dyDescent="0.2">
      <c r="A971" s="2"/>
      <c r="B971" s="2"/>
      <c r="C971" s="2"/>
      <c r="D971" s="2"/>
    </row>
    <row r="972" spans="1:4" x14ac:dyDescent="0.2">
      <c r="A972" s="2"/>
      <c r="B972" s="2"/>
      <c r="C972" s="2"/>
      <c r="D972" s="2"/>
    </row>
    <row r="973" spans="1:4" x14ac:dyDescent="0.2">
      <c r="A973" s="2"/>
      <c r="B973" s="2"/>
      <c r="C973" s="2"/>
      <c r="D973" s="2"/>
    </row>
    <row r="974" spans="1:4" x14ac:dyDescent="0.2">
      <c r="A974" s="2"/>
      <c r="B974" s="2"/>
      <c r="C974" s="2"/>
      <c r="D974" s="2"/>
    </row>
    <row r="975" spans="1:4" x14ac:dyDescent="0.2">
      <c r="A975" s="2"/>
      <c r="B975" s="2"/>
      <c r="C975" s="2"/>
      <c r="D975" s="2"/>
    </row>
    <row r="976" spans="1:4" x14ac:dyDescent="0.2">
      <c r="A976" s="2"/>
      <c r="B976" s="2"/>
      <c r="C976" s="2"/>
      <c r="D976" s="2"/>
    </row>
    <row r="977" spans="1:4" x14ac:dyDescent="0.2">
      <c r="A977" s="2"/>
      <c r="B977" s="2"/>
      <c r="C977" s="2"/>
      <c r="D977" s="2"/>
    </row>
    <row r="978" spans="1:4" x14ac:dyDescent="0.2">
      <c r="A978" s="2"/>
      <c r="B978" s="2"/>
      <c r="C978" s="2"/>
      <c r="D978" s="2"/>
    </row>
    <row r="979" spans="1:4" x14ac:dyDescent="0.2">
      <c r="A979" s="2"/>
      <c r="B979" s="2"/>
      <c r="C979" s="2"/>
      <c r="D979" s="2"/>
    </row>
    <row r="980" spans="1:4" x14ac:dyDescent="0.2">
      <c r="A980" s="2"/>
      <c r="B980" s="2"/>
      <c r="C980" s="2"/>
      <c r="D980" s="2"/>
    </row>
    <row r="981" spans="1:4" x14ac:dyDescent="0.2">
      <c r="A981" s="2"/>
      <c r="B981" s="2"/>
      <c r="C981" s="2"/>
      <c r="D981" s="2"/>
    </row>
    <row r="982" spans="1:4" x14ac:dyDescent="0.2">
      <c r="A982" s="2"/>
      <c r="B982" s="2"/>
      <c r="C982" s="2"/>
      <c r="D982" s="2"/>
    </row>
    <row r="983" spans="1:4" x14ac:dyDescent="0.2">
      <c r="A983" s="2"/>
      <c r="B983" s="2"/>
      <c r="C983" s="2"/>
      <c r="D983" s="2"/>
    </row>
    <row r="984" spans="1:4" x14ac:dyDescent="0.2">
      <c r="A984" s="2"/>
      <c r="B984" s="2"/>
      <c r="C984" s="2"/>
      <c r="D984" s="2"/>
    </row>
    <row r="985" spans="1:4" x14ac:dyDescent="0.2">
      <c r="A985" s="2"/>
      <c r="B985" s="2"/>
      <c r="C985" s="2"/>
      <c r="D985" s="2"/>
    </row>
    <row r="986" spans="1:4" x14ac:dyDescent="0.2">
      <c r="A986" s="2"/>
      <c r="B986" s="2"/>
      <c r="C986" s="2"/>
      <c r="D986" s="2"/>
    </row>
    <row r="987" spans="1:4" x14ac:dyDescent="0.2">
      <c r="A987" s="2"/>
      <c r="B987" s="2"/>
      <c r="C987" s="2"/>
      <c r="D987" s="2"/>
    </row>
    <row r="988" spans="1:4" x14ac:dyDescent="0.2">
      <c r="A988" s="2"/>
      <c r="B988" s="2"/>
      <c r="C988" s="2"/>
      <c r="D988" s="2"/>
    </row>
    <row r="989" spans="1:4" x14ac:dyDescent="0.2">
      <c r="A989" s="2"/>
      <c r="B989" s="2"/>
      <c r="C989" s="2"/>
      <c r="D989" s="2"/>
    </row>
    <row r="990" spans="1:4" x14ac:dyDescent="0.2">
      <c r="A990" s="2"/>
      <c r="B990" s="2"/>
      <c r="C990" s="2"/>
      <c r="D990" s="2"/>
    </row>
    <row r="991" spans="1:4" x14ac:dyDescent="0.2">
      <c r="A991" s="2"/>
      <c r="B991" s="2"/>
      <c r="C991" s="2"/>
      <c r="D991" s="2"/>
    </row>
    <row r="992" spans="1:4" x14ac:dyDescent="0.2">
      <c r="A992" s="2"/>
      <c r="B992" s="2"/>
      <c r="C992" s="2"/>
      <c r="D992" s="2"/>
    </row>
    <row r="993" spans="1:4" x14ac:dyDescent="0.2">
      <c r="A993" s="2"/>
      <c r="B993" s="2"/>
      <c r="C993" s="2"/>
      <c r="D993" s="2"/>
    </row>
    <row r="994" spans="1:4" x14ac:dyDescent="0.2">
      <c r="A994" s="2"/>
      <c r="B994" s="2"/>
      <c r="C994" s="2"/>
      <c r="D994" s="2"/>
    </row>
    <row r="995" spans="1:4" x14ac:dyDescent="0.2">
      <c r="A995" s="2"/>
      <c r="B995" s="2"/>
      <c r="C995" s="2"/>
      <c r="D995" s="2"/>
    </row>
    <row r="996" spans="1:4" x14ac:dyDescent="0.2">
      <c r="A996" s="2"/>
      <c r="B996" s="2"/>
      <c r="C996" s="2"/>
      <c r="D996" s="2"/>
    </row>
    <row r="997" spans="1:4" x14ac:dyDescent="0.2">
      <c r="A997" s="2"/>
      <c r="B997" s="2"/>
      <c r="C997" s="2"/>
      <c r="D997" s="2"/>
    </row>
    <row r="998" spans="1:4" x14ac:dyDescent="0.2">
      <c r="A998" s="2"/>
      <c r="B998" s="2"/>
      <c r="C998" s="2"/>
      <c r="D998" s="2"/>
    </row>
    <row r="999" spans="1:4" x14ac:dyDescent="0.2">
      <c r="A999" s="2"/>
      <c r="B999" s="2"/>
      <c r="C999" s="2"/>
      <c r="D999" s="2"/>
    </row>
    <row r="1000" spans="1:4" x14ac:dyDescent="0.2">
      <c r="A1000" s="2"/>
      <c r="B1000" s="2"/>
      <c r="C1000" s="2"/>
      <c r="D1000" s="2"/>
    </row>
    <row r="1001" spans="1:4" x14ac:dyDescent="0.2">
      <c r="A1001" s="2"/>
      <c r="B1001" s="2"/>
      <c r="C1001" s="2"/>
      <c r="D1001" s="2"/>
    </row>
    <row r="1002" spans="1:4" x14ac:dyDescent="0.2">
      <c r="A1002" s="2"/>
      <c r="B1002" s="2"/>
      <c r="C1002" s="2"/>
      <c r="D1002" s="2"/>
    </row>
    <row r="1003" spans="1:4" x14ac:dyDescent="0.2">
      <c r="A1003" s="2"/>
      <c r="B1003" s="2"/>
      <c r="C1003" s="2"/>
      <c r="D1003" s="2"/>
    </row>
    <row r="1004" spans="1:4" x14ac:dyDescent="0.2">
      <c r="A1004" s="2"/>
      <c r="B1004" s="2"/>
      <c r="C1004" s="2"/>
      <c r="D1004" s="2"/>
    </row>
    <row r="1005" spans="1:4" x14ac:dyDescent="0.2">
      <c r="A1005" s="2"/>
      <c r="B1005" s="2"/>
      <c r="C1005" s="2"/>
      <c r="D1005" s="2"/>
    </row>
    <row r="1006" spans="1:4" x14ac:dyDescent="0.2">
      <c r="A1006" s="2"/>
      <c r="B1006" s="2"/>
      <c r="C1006" s="2"/>
      <c r="D1006" s="2"/>
    </row>
    <row r="1007" spans="1:4" x14ac:dyDescent="0.2">
      <c r="A1007" s="2"/>
      <c r="B1007" s="2"/>
      <c r="C1007" s="2"/>
      <c r="D1007" s="2"/>
    </row>
    <row r="1008" spans="1:4" x14ac:dyDescent="0.2">
      <c r="A1008" s="2"/>
      <c r="B1008" s="2"/>
      <c r="C1008" s="2"/>
      <c r="D1008" s="2"/>
    </row>
    <row r="1009" spans="1:4" x14ac:dyDescent="0.2">
      <c r="A1009" s="2"/>
      <c r="B1009" s="2"/>
      <c r="C1009" s="2"/>
      <c r="D1009" s="2"/>
    </row>
    <row r="1010" spans="1:4" x14ac:dyDescent="0.2">
      <c r="A1010" s="2"/>
      <c r="B1010" s="2"/>
      <c r="C1010" s="2"/>
      <c r="D1010" s="2"/>
    </row>
    <row r="1011" spans="1:4" x14ac:dyDescent="0.2">
      <c r="A1011" s="2"/>
      <c r="B1011" s="2"/>
      <c r="C1011" s="2"/>
      <c r="D1011" s="2"/>
    </row>
    <row r="1012" spans="1:4" x14ac:dyDescent="0.2">
      <c r="A1012" s="2"/>
      <c r="B1012" s="2"/>
      <c r="C1012" s="2"/>
      <c r="D1012" s="2"/>
    </row>
    <row r="1013" spans="1:4" x14ac:dyDescent="0.2">
      <c r="A1013" s="2"/>
      <c r="B1013" s="2"/>
      <c r="C1013" s="2"/>
      <c r="D1013" s="2"/>
    </row>
    <row r="1014" spans="1:4" x14ac:dyDescent="0.2">
      <c r="A1014" s="2"/>
      <c r="B1014" s="2"/>
      <c r="C1014" s="2"/>
      <c r="D1014" s="2"/>
    </row>
  </sheetData>
  <sortState xmlns:xlrd2="http://schemas.microsoft.com/office/spreadsheetml/2017/richdata2" ref="A21:B26">
    <sortCondition descending="1" ref="B21:B26"/>
  </sortState>
  <hyperlinks>
    <hyperlink ref="F4" r:id="rId1" xr:uid="{A70B47AA-7390-1D48-9561-E1660951D3BF}"/>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719C-4E9A-7348-9C54-6DEE2F7F300F}">
  <dimension ref="A1:I47"/>
  <sheetViews>
    <sheetView topLeftCell="D9" workbookViewId="0">
      <selection activeCell="F21" sqref="F21"/>
    </sheetView>
  </sheetViews>
  <sheetFormatPr baseColWidth="10" defaultRowHeight="16" x14ac:dyDescent="0.2"/>
  <cols>
    <col min="1" max="1" width="58.83203125" bestFit="1" customWidth="1"/>
    <col min="2" max="2" width="38.1640625" bestFit="1" customWidth="1"/>
    <col min="4" max="4" width="22.1640625" bestFit="1" customWidth="1"/>
    <col min="5" max="5" width="23.6640625" bestFit="1" customWidth="1"/>
    <col min="6" max="6" width="19.1640625" customWidth="1"/>
    <col min="8" max="8" width="13.83203125" bestFit="1" customWidth="1"/>
    <col min="9" max="9" width="13.1640625" bestFit="1" customWidth="1"/>
  </cols>
  <sheetData>
    <row r="1" spans="1:9" x14ac:dyDescent="0.2">
      <c r="A1" t="s">
        <v>36</v>
      </c>
      <c r="C1" t="s">
        <v>37</v>
      </c>
      <c r="D1" t="s">
        <v>9</v>
      </c>
      <c r="E1" t="s">
        <v>9</v>
      </c>
      <c r="G1" t="s">
        <v>18</v>
      </c>
      <c r="H1" s="3" t="s">
        <v>355</v>
      </c>
      <c r="I1" s="3" t="s">
        <v>356</v>
      </c>
    </row>
    <row r="2" spans="1:9" x14ac:dyDescent="0.2">
      <c r="A2" t="s">
        <v>265</v>
      </c>
      <c r="B2" t="s">
        <v>39</v>
      </c>
      <c r="C2" t="s">
        <v>40</v>
      </c>
      <c r="D2" t="s">
        <v>41</v>
      </c>
      <c r="E2" t="s">
        <v>42</v>
      </c>
      <c r="F2" t="s">
        <v>328</v>
      </c>
      <c r="G2" t="s">
        <v>324</v>
      </c>
      <c r="H2">
        <f>scoringR2!H16</f>
        <v>4</v>
      </c>
      <c r="I2">
        <f>scoringR2!I16</f>
        <v>4</v>
      </c>
    </row>
    <row r="3" spans="1:9" x14ac:dyDescent="0.2">
      <c r="A3" t="s">
        <v>44</v>
      </c>
      <c r="B3" t="s">
        <v>45</v>
      </c>
      <c r="C3" t="s">
        <v>46</v>
      </c>
      <c r="D3" t="s">
        <v>47</v>
      </c>
      <c r="E3" t="s">
        <v>48</v>
      </c>
      <c r="F3" t="s">
        <v>329</v>
      </c>
      <c r="G3" t="s">
        <v>324</v>
      </c>
      <c r="H3">
        <f>scoringR2!H17</f>
        <v>4.4000000000000004</v>
      </c>
      <c r="I3">
        <f>scoringR2!I17</f>
        <v>5</v>
      </c>
    </row>
    <row r="4" spans="1:9" x14ac:dyDescent="0.2">
      <c r="A4" t="s">
        <v>50</v>
      </c>
      <c r="B4" t="s">
        <v>51</v>
      </c>
      <c r="C4" t="s">
        <v>52</v>
      </c>
      <c r="D4" t="s">
        <v>53</v>
      </c>
      <c r="E4" t="s">
        <v>48</v>
      </c>
      <c r="F4" t="s">
        <v>54</v>
      </c>
      <c r="G4" t="s">
        <v>324</v>
      </c>
      <c r="H4">
        <f>scoringR2!H18</f>
        <v>4.5999999999999996</v>
      </c>
      <c r="I4">
        <f>scoringR2!I18</f>
        <v>5</v>
      </c>
    </row>
    <row r="5" spans="1:9" x14ac:dyDescent="0.2">
      <c r="A5" t="s">
        <v>266</v>
      </c>
      <c r="B5" t="s">
        <v>56</v>
      </c>
      <c r="C5" t="s">
        <v>57</v>
      </c>
      <c r="D5" t="s">
        <v>58</v>
      </c>
      <c r="E5" t="s">
        <v>59</v>
      </c>
      <c r="F5" t="s">
        <v>60</v>
      </c>
      <c r="G5" t="s">
        <v>324</v>
      </c>
      <c r="H5">
        <f>scoringR2!H19</f>
        <v>3</v>
      </c>
      <c r="I5">
        <f>scoringR2!I19</f>
        <v>3</v>
      </c>
    </row>
    <row r="6" spans="1:9" x14ac:dyDescent="0.2">
      <c r="A6" t="s">
        <v>61</v>
      </c>
      <c r="B6" t="s">
        <v>51</v>
      </c>
      <c r="C6" t="s">
        <v>62</v>
      </c>
      <c r="D6" t="s">
        <v>53</v>
      </c>
      <c r="E6" t="s">
        <v>48</v>
      </c>
      <c r="F6" t="s">
        <v>54</v>
      </c>
      <c r="G6" t="s">
        <v>324</v>
      </c>
      <c r="H6">
        <f>scoringR2!H20</f>
        <v>2.6</v>
      </c>
      <c r="I6">
        <f>scoringR2!I20</f>
        <v>3</v>
      </c>
    </row>
    <row r="7" spans="1:9" x14ac:dyDescent="0.2">
      <c r="A7" t="s">
        <v>254</v>
      </c>
      <c r="B7" t="s">
        <v>99</v>
      </c>
      <c r="C7" t="s">
        <v>129</v>
      </c>
      <c r="D7" t="s">
        <v>101</v>
      </c>
      <c r="E7" t="s">
        <v>25</v>
      </c>
      <c r="F7" t="s">
        <v>330</v>
      </c>
      <c r="G7" t="s">
        <v>324</v>
      </c>
      <c r="H7">
        <f>scoringR2!H21</f>
        <v>4.4000000000000004</v>
      </c>
      <c r="I7">
        <f>scoringR2!I21</f>
        <v>4</v>
      </c>
    </row>
    <row r="8" spans="1:9" x14ac:dyDescent="0.2">
      <c r="A8" t="s">
        <v>130</v>
      </c>
      <c r="B8" t="s">
        <v>99</v>
      </c>
      <c r="C8" t="s">
        <v>131</v>
      </c>
      <c r="D8" t="s">
        <v>101</v>
      </c>
      <c r="E8" t="s">
        <v>25</v>
      </c>
      <c r="F8" t="s">
        <v>330</v>
      </c>
      <c r="G8" t="s">
        <v>324</v>
      </c>
      <c r="H8">
        <f>scoringR2!H22</f>
        <v>3.2</v>
      </c>
      <c r="I8">
        <f>scoringR2!I22</f>
        <v>3</v>
      </c>
    </row>
    <row r="9" spans="1:9" x14ac:dyDescent="0.2">
      <c r="A9" t="s">
        <v>267</v>
      </c>
      <c r="B9" t="s">
        <v>28</v>
      </c>
      <c r="C9" t="s">
        <v>29</v>
      </c>
      <c r="D9" t="s">
        <v>30</v>
      </c>
      <c r="E9" t="s">
        <v>31</v>
      </c>
      <c r="F9" t="s">
        <v>325</v>
      </c>
      <c r="G9" t="s">
        <v>324</v>
      </c>
      <c r="H9">
        <f>scoringR2!H23</f>
        <v>4</v>
      </c>
      <c r="I9">
        <f>scoringR2!I23</f>
        <v>4</v>
      </c>
    </row>
    <row r="10" spans="1:9" x14ac:dyDescent="0.2">
      <c r="A10" t="s">
        <v>332</v>
      </c>
      <c r="B10" t="s">
        <v>51</v>
      </c>
      <c r="C10" t="s">
        <v>272</v>
      </c>
      <c r="D10" t="s">
        <v>53</v>
      </c>
      <c r="E10" t="s">
        <v>48</v>
      </c>
      <c r="F10" t="s">
        <v>54</v>
      </c>
      <c r="G10" t="s">
        <v>324</v>
      </c>
      <c r="H10">
        <f>scoringR2!H24</f>
        <v>2.4</v>
      </c>
      <c r="I10">
        <f>scoringR2!I24</f>
        <v>2</v>
      </c>
    </row>
    <row r="11" spans="1:9" x14ac:dyDescent="0.2">
      <c r="A11" t="s">
        <v>334</v>
      </c>
      <c r="B11" t="s">
        <v>335</v>
      </c>
      <c r="C11" t="s">
        <v>289</v>
      </c>
      <c r="D11" t="s">
        <v>270</v>
      </c>
      <c r="E11" t="s">
        <v>31</v>
      </c>
      <c r="F11" t="s">
        <v>271</v>
      </c>
      <c r="G11" t="s">
        <v>324</v>
      </c>
      <c r="H11">
        <f>scoringR2!H25</f>
        <v>3</v>
      </c>
      <c r="I11">
        <f>scoringR2!I25</f>
        <v>3</v>
      </c>
    </row>
    <row r="12" spans="1:9" x14ac:dyDescent="0.2">
      <c r="A12" t="s">
        <v>336</v>
      </c>
      <c r="B12" t="s">
        <v>51</v>
      </c>
      <c r="C12" t="s">
        <v>290</v>
      </c>
      <c r="D12" t="s">
        <v>53</v>
      </c>
      <c r="E12" t="s">
        <v>48</v>
      </c>
      <c r="F12" t="s">
        <v>54</v>
      </c>
      <c r="G12" t="s">
        <v>324</v>
      </c>
      <c r="H12">
        <f>scoringR2!H26</f>
        <v>3</v>
      </c>
      <c r="I12">
        <f>scoringR2!I26</f>
        <v>3</v>
      </c>
    </row>
    <row r="13" spans="1:9" x14ac:dyDescent="0.2">
      <c r="A13" t="s">
        <v>337</v>
      </c>
      <c r="B13" t="s">
        <v>51</v>
      </c>
      <c r="C13" t="s">
        <v>292</v>
      </c>
      <c r="D13" t="s">
        <v>53</v>
      </c>
      <c r="E13" t="s">
        <v>48</v>
      </c>
      <c r="F13" t="s">
        <v>54</v>
      </c>
      <c r="G13" t="s">
        <v>324</v>
      </c>
      <c r="H13">
        <f>scoringR2!H27</f>
        <v>3.4</v>
      </c>
      <c r="I13">
        <f>scoringR2!I27</f>
        <v>4</v>
      </c>
    </row>
    <row r="14" spans="1:9" x14ac:dyDescent="0.2">
      <c r="A14" t="s">
        <v>338</v>
      </c>
      <c r="B14" t="s">
        <v>51</v>
      </c>
      <c r="C14" t="s">
        <v>291</v>
      </c>
      <c r="D14" t="s">
        <v>53</v>
      </c>
      <c r="E14" t="s">
        <v>48</v>
      </c>
      <c r="F14" t="s">
        <v>54</v>
      </c>
      <c r="G14" t="s">
        <v>324</v>
      </c>
      <c r="H14">
        <f>scoringR2!H28</f>
        <v>3.2</v>
      </c>
      <c r="I14">
        <f>scoringR2!I28</f>
        <v>4</v>
      </c>
    </row>
    <row r="15" spans="1:9" x14ac:dyDescent="0.2">
      <c r="A15" s="3" t="s">
        <v>268</v>
      </c>
    </row>
    <row r="18" spans="1:2" x14ac:dyDescent="0.2">
      <c r="A18" t="s">
        <v>36</v>
      </c>
      <c r="B18" s="3" t="s">
        <v>355</v>
      </c>
    </row>
    <row r="19" spans="1:2" x14ac:dyDescent="0.2">
      <c r="A19" s="26" t="s">
        <v>50</v>
      </c>
      <c r="B19">
        <v>4.5999999999999996</v>
      </c>
    </row>
    <row r="20" spans="1:2" x14ac:dyDescent="0.2">
      <c r="A20" s="26" t="s">
        <v>44</v>
      </c>
      <c r="B20">
        <v>4.4000000000000004</v>
      </c>
    </row>
    <row r="21" spans="1:2" x14ac:dyDescent="0.2">
      <c r="A21" s="26" t="s">
        <v>254</v>
      </c>
      <c r="B21">
        <v>4.4000000000000004</v>
      </c>
    </row>
    <row r="22" spans="1:2" x14ac:dyDescent="0.2">
      <c r="A22" s="26" t="s">
        <v>265</v>
      </c>
      <c r="B22">
        <v>4</v>
      </c>
    </row>
    <row r="23" spans="1:2" x14ac:dyDescent="0.2">
      <c r="A23" s="26" t="s">
        <v>267</v>
      </c>
      <c r="B23">
        <v>4</v>
      </c>
    </row>
    <row r="24" spans="1:2" x14ac:dyDescent="0.2">
      <c r="A24" t="s">
        <v>337</v>
      </c>
      <c r="B24">
        <v>3.4</v>
      </c>
    </row>
    <row r="25" spans="1:2" x14ac:dyDescent="0.2">
      <c r="A25" t="s">
        <v>130</v>
      </c>
      <c r="B25">
        <v>3.2</v>
      </c>
    </row>
    <row r="26" spans="1:2" x14ac:dyDescent="0.2">
      <c r="A26" t="s">
        <v>338</v>
      </c>
      <c r="B26">
        <v>3.2</v>
      </c>
    </row>
    <row r="27" spans="1:2" x14ac:dyDescent="0.2">
      <c r="A27" t="s">
        <v>266</v>
      </c>
      <c r="B27">
        <v>3</v>
      </c>
    </row>
    <row r="28" spans="1:2" x14ac:dyDescent="0.2">
      <c r="A28" t="s">
        <v>334</v>
      </c>
      <c r="B28">
        <v>3</v>
      </c>
    </row>
    <row r="29" spans="1:2" x14ac:dyDescent="0.2">
      <c r="A29" t="s">
        <v>336</v>
      </c>
      <c r="B29">
        <v>3</v>
      </c>
    </row>
    <row r="30" spans="1:2" x14ac:dyDescent="0.2">
      <c r="A30" t="s">
        <v>61</v>
      </c>
      <c r="B30">
        <v>2.6</v>
      </c>
    </row>
    <row r="31" spans="1:2" x14ac:dyDescent="0.2">
      <c r="A31" t="s">
        <v>332</v>
      </c>
      <c r="B31">
        <v>2.4</v>
      </c>
    </row>
    <row r="32" spans="1:2" x14ac:dyDescent="0.2">
      <c r="A32" s="3" t="s">
        <v>268</v>
      </c>
    </row>
    <row r="34" spans="1:2" x14ac:dyDescent="0.2">
      <c r="A34" t="s">
        <v>36</v>
      </c>
      <c r="B34" s="3" t="s">
        <v>356</v>
      </c>
    </row>
    <row r="35" spans="1:2" x14ac:dyDescent="0.2">
      <c r="A35" t="s">
        <v>44</v>
      </c>
      <c r="B35">
        <v>5</v>
      </c>
    </row>
    <row r="36" spans="1:2" x14ac:dyDescent="0.2">
      <c r="A36" t="s">
        <v>50</v>
      </c>
      <c r="B36">
        <v>5</v>
      </c>
    </row>
    <row r="37" spans="1:2" x14ac:dyDescent="0.2">
      <c r="A37" t="s">
        <v>265</v>
      </c>
      <c r="B37">
        <v>4</v>
      </c>
    </row>
    <row r="38" spans="1:2" x14ac:dyDescent="0.2">
      <c r="A38" t="s">
        <v>254</v>
      </c>
      <c r="B38">
        <v>4</v>
      </c>
    </row>
    <row r="39" spans="1:2" x14ac:dyDescent="0.2">
      <c r="A39" t="s">
        <v>267</v>
      </c>
      <c r="B39">
        <v>4</v>
      </c>
    </row>
    <row r="40" spans="1:2" x14ac:dyDescent="0.2">
      <c r="A40" t="s">
        <v>337</v>
      </c>
      <c r="B40">
        <v>4</v>
      </c>
    </row>
    <row r="41" spans="1:2" x14ac:dyDescent="0.2">
      <c r="A41" t="s">
        <v>338</v>
      </c>
      <c r="B41">
        <v>4</v>
      </c>
    </row>
    <row r="42" spans="1:2" x14ac:dyDescent="0.2">
      <c r="A42" t="s">
        <v>266</v>
      </c>
      <c r="B42">
        <v>3</v>
      </c>
    </row>
    <row r="43" spans="1:2" x14ac:dyDescent="0.2">
      <c r="A43" t="s">
        <v>61</v>
      </c>
      <c r="B43">
        <v>3</v>
      </c>
    </row>
    <row r="44" spans="1:2" x14ac:dyDescent="0.2">
      <c r="A44" t="s">
        <v>130</v>
      </c>
      <c r="B44">
        <v>3</v>
      </c>
    </row>
    <row r="45" spans="1:2" x14ac:dyDescent="0.2">
      <c r="A45" t="s">
        <v>334</v>
      </c>
      <c r="B45">
        <v>3</v>
      </c>
    </row>
    <row r="46" spans="1:2" x14ac:dyDescent="0.2">
      <c r="A46" t="s">
        <v>336</v>
      </c>
      <c r="B46">
        <v>3</v>
      </c>
    </row>
    <row r="47" spans="1:2" x14ac:dyDescent="0.2">
      <c r="A47" t="s">
        <v>332</v>
      </c>
      <c r="B47">
        <v>2</v>
      </c>
    </row>
  </sheetData>
  <sortState xmlns:xlrd2="http://schemas.microsoft.com/office/spreadsheetml/2017/richdata2" ref="A34:B47">
    <sortCondition descending="1" ref="B35:B47"/>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1BF7-5519-4648-8DA4-F3A2E469CD6F}">
  <dimension ref="A1:I28"/>
  <sheetViews>
    <sheetView topLeftCell="C5" workbookViewId="0">
      <selection activeCell="Q6" sqref="Q6"/>
    </sheetView>
  </sheetViews>
  <sheetFormatPr baseColWidth="10" defaultRowHeight="16" x14ac:dyDescent="0.2"/>
  <cols>
    <col min="1" max="1" width="49" bestFit="1" customWidth="1"/>
    <col min="2" max="2" width="47.5" bestFit="1" customWidth="1"/>
    <col min="4" max="4" width="11" bestFit="1" customWidth="1"/>
    <col min="5" max="5" width="30" bestFit="1" customWidth="1"/>
    <col min="8" max="8" width="13.83203125" bestFit="1" customWidth="1"/>
    <col min="9" max="9" width="13.1640625" bestFit="1" customWidth="1"/>
  </cols>
  <sheetData>
    <row r="1" spans="1:9" x14ac:dyDescent="0.2">
      <c r="A1" s="1" t="s">
        <v>139</v>
      </c>
      <c r="B1" s="2"/>
      <c r="C1" s="3" t="s">
        <v>116</v>
      </c>
      <c r="D1" s="3" t="s">
        <v>9</v>
      </c>
      <c r="E1" s="3" t="s">
        <v>9</v>
      </c>
      <c r="F1" s="2"/>
      <c r="G1" s="3" t="s">
        <v>18</v>
      </c>
      <c r="H1" s="3" t="s">
        <v>355</v>
      </c>
      <c r="I1" s="3" t="s">
        <v>356</v>
      </c>
    </row>
    <row r="2" spans="1:9" x14ac:dyDescent="0.2">
      <c r="A2" s="3" t="s">
        <v>117</v>
      </c>
      <c r="B2" s="3" t="s">
        <v>118</v>
      </c>
      <c r="C2" s="3" t="s">
        <v>119</v>
      </c>
      <c r="D2" s="3" t="s">
        <v>120</v>
      </c>
      <c r="E2" s="3" t="s">
        <v>76</v>
      </c>
      <c r="F2" s="24" t="s">
        <v>121</v>
      </c>
      <c r="G2" s="3" t="s">
        <v>324</v>
      </c>
      <c r="H2">
        <f>scoringR2!H33</f>
        <v>3.4</v>
      </c>
      <c r="I2">
        <f>scoringR2!I33</f>
        <v>3</v>
      </c>
    </row>
    <row r="3" spans="1:9" x14ac:dyDescent="0.2">
      <c r="A3" s="3" t="s">
        <v>122</v>
      </c>
      <c r="B3" s="3" t="s">
        <v>99</v>
      </c>
      <c r="C3" s="3" t="s">
        <v>123</v>
      </c>
      <c r="D3" s="3" t="s">
        <v>101</v>
      </c>
      <c r="E3" s="3" t="s">
        <v>25</v>
      </c>
      <c r="F3" s="25" t="s">
        <v>307</v>
      </c>
      <c r="G3" s="3" t="s">
        <v>324</v>
      </c>
      <c r="H3">
        <f>scoringR2!H34</f>
        <v>2.6</v>
      </c>
      <c r="I3">
        <f>scoringR2!I34</f>
        <v>2</v>
      </c>
    </row>
    <row r="4" spans="1:9" x14ac:dyDescent="0.2">
      <c r="A4" s="3" t="s">
        <v>124</v>
      </c>
      <c r="B4" s="3" t="s">
        <v>125</v>
      </c>
      <c r="C4" s="3" t="s">
        <v>126</v>
      </c>
      <c r="D4" s="3" t="s">
        <v>127</v>
      </c>
      <c r="E4" s="3" t="s">
        <v>76</v>
      </c>
      <c r="F4" s="24" t="s">
        <v>121</v>
      </c>
      <c r="G4" s="3" t="s">
        <v>324</v>
      </c>
      <c r="H4">
        <f>scoringR2!H35</f>
        <v>4</v>
      </c>
      <c r="I4">
        <f>scoringR2!I35</f>
        <v>4</v>
      </c>
    </row>
    <row r="5" spans="1:9" x14ac:dyDescent="0.2">
      <c r="A5" s="3" t="s">
        <v>132</v>
      </c>
      <c r="B5" s="3" t="s">
        <v>133</v>
      </c>
      <c r="C5" s="3" t="s">
        <v>134</v>
      </c>
      <c r="D5" s="3">
        <v>2020</v>
      </c>
      <c r="E5" s="3" t="s">
        <v>76</v>
      </c>
      <c r="F5" s="25" t="s">
        <v>135</v>
      </c>
      <c r="G5" s="3" t="s">
        <v>324</v>
      </c>
      <c r="H5">
        <f>scoringR2!H36</f>
        <v>2.8</v>
      </c>
      <c r="I5">
        <f>scoringR2!I36</f>
        <v>2</v>
      </c>
    </row>
    <row r="6" spans="1:9" x14ac:dyDescent="0.2">
      <c r="A6" s="3" t="s">
        <v>341</v>
      </c>
      <c r="B6" s="3" t="s">
        <v>297</v>
      </c>
      <c r="C6" s="3" t="s">
        <v>282</v>
      </c>
      <c r="D6" s="3" t="s">
        <v>299</v>
      </c>
      <c r="E6" s="3" t="s">
        <v>300</v>
      </c>
      <c r="F6" s="25" t="s">
        <v>298</v>
      </c>
      <c r="G6" s="3" t="s">
        <v>324</v>
      </c>
      <c r="H6">
        <f>scoringR2!H37</f>
        <v>3.8</v>
      </c>
      <c r="I6">
        <f>scoringR2!I37</f>
        <v>4</v>
      </c>
    </row>
    <row r="7" spans="1:9" x14ac:dyDescent="0.2">
      <c r="A7" s="3" t="s">
        <v>342</v>
      </c>
      <c r="B7" s="2" t="s">
        <v>305</v>
      </c>
      <c r="C7" s="3" t="s">
        <v>284</v>
      </c>
      <c r="D7" s="3" t="s">
        <v>306</v>
      </c>
      <c r="E7" s="3" t="s">
        <v>76</v>
      </c>
      <c r="F7" s="25" t="s">
        <v>308</v>
      </c>
      <c r="G7" s="3" t="s">
        <v>324</v>
      </c>
      <c r="H7">
        <f>scoringR2!H38</f>
        <v>3.2</v>
      </c>
      <c r="I7">
        <f>scoringR2!I38</f>
        <v>3</v>
      </c>
    </row>
    <row r="8" spans="1:9" x14ac:dyDescent="0.2">
      <c r="A8" s="3" t="s">
        <v>343</v>
      </c>
      <c r="B8" s="2" t="s">
        <v>273</v>
      </c>
      <c r="C8" s="2" t="s">
        <v>283</v>
      </c>
      <c r="D8" s="2" t="s">
        <v>241</v>
      </c>
      <c r="E8" s="3" t="s">
        <v>16</v>
      </c>
      <c r="F8" s="25" t="s">
        <v>274</v>
      </c>
      <c r="G8" s="3" t="s">
        <v>324</v>
      </c>
      <c r="H8">
        <f>scoringR2!H39</f>
        <v>3</v>
      </c>
      <c r="I8">
        <f>scoringR2!I39</f>
        <v>3</v>
      </c>
    </row>
    <row r="11" spans="1:9" x14ac:dyDescent="0.2">
      <c r="A11" s="1" t="s">
        <v>139</v>
      </c>
      <c r="B11" t="s">
        <v>355</v>
      </c>
    </row>
    <row r="12" spans="1:9" x14ac:dyDescent="0.2">
      <c r="A12" s="11" t="s">
        <v>124</v>
      </c>
      <c r="B12">
        <v>4</v>
      </c>
      <c r="C12" t="s">
        <v>359</v>
      </c>
    </row>
    <row r="13" spans="1:9" x14ac:dyDescent="0.2">
      <c r="A13" s="11" t="s">
        <v>341</v>
      </c>
      <c r="B13">
        <v>3.8</v>
      </c>
    </row>
    <row r="14" spans="1:9" x14ac:dyDescent="0.2">
      <c r="A14" s="3" t="s">
        <v>117</v>
      </c>
      <c r="B14">
        <v>3.4</v>
      </c>
    </row>
    <row r="15" spans="1:9" x14ac:dyDescent="0.2">
      <c r="A15" s="3" t="s">
        <v>342</v>
      </c>
      <c r="B15">
        <v>3.2</v>
      </c>
    </row>
    <row r="16" spans="1:9" x14ac:dyDescent="0.2">
      <c r="A16" s="3" t="s">
        <v>343</v>
      </c>
      <c r="B16">
        <v>3</v>
      </c>
    </row>
    <row r="17" spans="1:2" x14ac:dyDescent="0.2">
      <c r="A17" s="3" t="s">
        <v>132</v>
      </c>
      <c r="B17">
        <v>2.8</v>
      </c>
    </row>
    <row r="18" spans="1:2" x14ac:dyDescent="0.2">
      <c r="A18" s="3" t="s">
        <v>122</v>
      </c>
      <c r="B18">
        <v>2.6</v>
      </c>
    </row>
    <row r="21" spans="1:2" x14ac:dyDescent="0.2">
      <c r="A21" s="1" t="s">
        <v>139</v>
      </c>
      <c r="B21" t="s">
        <v>356</v>
      </c>
    </row>
    <row r="22" spans="1:2" x14ac:dyDescent="0.2">
      <c r="A22" s="3" t="s">
        <v>124</v>
      </c>
      <c r="B22">
        <v>4</v>
      </c>
    </row>
    <row r="23" spans="1:2" x14ac:dyDescent="0.2">
      <c r="A23" s="3" t="s">
        <v>341</v>
      </c>
      <c r="B23">
        <v>4</v>
      </c>
    </row>
    <row r="24" spans="1:2" x14ac:dyDescent="0.2">
      <c r="A24" s="3" t="s">
        <v>117</v>
      </c>
      <c r="B24">
        <v>3</v>
      </c>
    </row>
    <row r="25" spans="1:2" x14ac:dyDescent="0.2">
      <c r="A25" s="3" t="s">
        <v>342</v>
      </c>
      <c r="B25">
        <v>3</v>
      </c>
    </row>
    <row r="26" spans="1:2" x14ac:dyDescent="0.2">
      <c r="A26" s="3" t="s">
        <v>343</v>
      </c>
      <c r="B26">
        <v>3</v>
      </c>
    </row>
    <row r="27" spans="1:2" x14ac:dyDescent="0.2">
      <c r="A27" s="3" t="s">
        <v>122</v>
      </c>
      <c r="B27">
        <v>2</v>
      </c>
    </row>
    <row r="28" spans="1:2" x14ac:dyDescent="0.2">
      <c r="A28" s="3" t="s">
        <v>132</v>
      </c>
      <c r="B28">
        <v>2</v>
      </c>
    </row>
  </sheetData>
  <sortState xmlns:xlrd2="http://schemas.microsoft.com/office/spreadsheetml/2017/richdata2" ref="A22:B28">
    <sortCondition descending="1" ref="B22:B28"/>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9A9C7-970C-BA43-A0B3-816A175E203B}">
  <dimension ref="A1:I19"/>
  <sheetViews>
    <sheetView topLeftCell="B1" workbookViewId="0">
      <selection activeCell="A10" sqref="A10"/>
    </sheetView>
  </sheetViews>
  <sheetFormatPr baseColWidth="10" defaultRowHeight="16" x14ac:dyDescent="0.2"/>
  <cols>
    <col min="1" max="1" width="61.6640625" bestFit="1" customWidth="1"/>
    <col min="2" max="2" width="37.1640625" bestFit="1" customWidth="1"/>
    <col min="8" max="8" width="13.83203125" bestFit="1" customWidth="1"/>
    <col min="9" max="9" width="13.1640625" bestFit="1" customWidth="1"/>
  </cols>
  <sheetData>
    <row r="1" spans="1:9" x14ac:dyDescent="0.2">
      <c r="A1" s="1" t="s">
        <v>358</v>
      </c>
      <c r="B1" s="2"/>
      <c r="C1" s="2"/>
      <c r="D1" s="2"/>
      <c r="E1" s="2"/>
      <c r="F1" s="2"/>
      <c r="G1" s="3"/>
      <c r="H1" s="3" t="s">
        <v>355</v>
      </c>
      <c r="I1" s="3" t="s">
        <v>356</v>
      </c>
    </row>
    <row r="2" spans="1:9" x14ac:dyDescent="0.2">
      <c r="A2" s="3" t="s">
        <v>349</v>
      </c>
      <c r="B2" s="3" t="s">
        <v>303</v>
      </c>
      <c r="C2" s="3" t="s">
        <v>286</v>
      </c>
      <c r="D2" s="3" t="s">
        <v>236</v>
      </c>
      <c r="E2" s="3" t="s">
        <v>316</v>
      </c>
      <c r="F2" s="24" t="s">
        <v>251</v>
      </c>
      <c r="G2" s="3" t="s">
        <v>324</v>
      </c>
      <c r="H2">
        <f>scoringR2!H42</f>
        <v>3</v>
      </c>
      <c r="I2">
        <f>scoringR2!I42</f>
        <v>3</v>
      </c>
    </row>
    <row r="3" spans="1:9" x14ac:dyDescent="0.2">
      <c r="A3" s="3" t="s">
        <v>350</v>
      </c>
      <c r="B3" s="3" t="s">
        <v>303</v>
      </c>
      <c r="C3" s="3" t="s">
        <v>288</v>
      </c>
      <c r="D3" s="3" t="s">
        <v>236</v>
      </c>
      <c r="E3" s="3" t="s">
        <v>316</v>
      </c>
      <c r="F3" s="25" t="s">
        <v>251</v>
      </c>
      <c r="G3" s="3" t="s">
        <v>324</v>
      </c>
      <c r="H3">
        <f>scoringR2!H43</f>
        <v>3.2</v>
      </c>
      <c r="I3">
        <f>scoringR2!I43</f>
        <v>3</v>
      </c>
    </row>
    <row r="4" spans="1:9" x14ac:dyDescent="0.2">
      <c r="A4" s="3" t="s">
        <v>83</v>
      </c>
      <c r="B4" s="3" t="s">
        <v>84</v>
      </c>
      <c r="C4" s="3" t="s">
        <v>85</v>
      </c>
      <c r="D4" s="3" t="s">
        <v>86</v>
      </c>
      <c r="E4" s="3" t="s">
        <v>76</v>
      </c>
      <c r="F4" s="24" t="s">
        <v>87</v>
      </c>
      <c r="G4" s="3" t="s">
        <v>324</v>
      </c>
      <c r="H4">
        <f>scoringR2!H44</f>
        <v>4.2</v>
      </c>
      <c r="I4">
        <f>scoringR2!I44</f>
        <v>4</v>
      </c>
    </row>
    <row r="5" spans="1:9" x14ac:dyDescent="0.2">
      <c r="A5" s="3" t="s">
        <v>339</v>
      </c>
      <c r="B5" s="3" t="s">
        <v>340</v>
      </c>
      <c r="C5" s="3" t="s">
        <v>294</v>
      </c>
      <c r="D5" s="3" t="s">
        <v>293</v>
      </c>
      <c r="E5" s="3" t="s">
        <v>76</v>
      </c>
      <c r="F5" s="25" t="s">
        <v>295</v>
      </c>
      <c r="G5" s="3" t="s">
        <v>324</v>
      </c>
      <c r="H5">
        <f>scoringR2!H45</f>
        <v>4</v>
      </c>
      <c r="I5">
        <f>scoringR2!I45</f>
        <v>4</v>
      </c>
    </row>
    <row r="8" spans="1:9" x14ac:dyDescent="0.2">
      <c r="A8" s="1" t="s">
        <v>358</v>
      </c>
      <c r="B8" t="s">
        <v>355</v>
      </c>
    </row>
    <row r="9" spans="1:9" x14ac:dyDescent="0.2">
      <c r="A9" s="11" t="s">
        <v>83</v>
      </c>
      <c r="B9">
        <v>4.2</v>
      </c>
    </row>
    <row r="10" spans="1:9" x14ac:dyDescent="0.2">
      <c r="A10" s="11" t="s">
        <v>339</v>
      </c>
      <c r="B10">
        <v>4</v>
      </c>
    </row>
    <row r="11" spans="1:9" x14ac:dyDescent="0.2">
      <c r="A11" s="3" t="s">
        <v>350</v>
      </c>
      <c r="B11">
        <v>3.2</v>
      </c>
    </row>
    <row r="12" spans="1:9" x14ac:dyDescent="0.2">
      <c r="A12" s="3" t="s">
        <v>349</v>
      </c>
      <c r="B12">
        <v>3</v>
      </c>
    </row>
    <row r="15" spans="1:9" x14ac:dyDescent="0.2">
      <c r="A15" s="1" t="s">
        <v>358</v>
      </c>
      <c r="B15" t="s">
        <v>356</v>
      </c>
    </row>
    <row r="16" spans="1:9" x14ac:dyDescent="0.2">
      <c r="A16" s="3" t="s">
        <v>83</v>
      </c>
      <c r="B16">
        <v>4</v>
      </c>
    </row>
    <row r="17" spans="1:2" x14ac:dyDescent="0.2">
      <c r="A17" s="3" t="s">
        <v>339</v>
      </c>
      <c r="B17">
        <v>4</v>
      </c>
    </row>
    <row r="18" spans="1:2" x14ac:dyDescent="0.2">
      <c r="A18" s="3" t="s">
        <v>349</v>
      </c>
      <c r="B18">
        <v>3</v>
      </c>
    </row>
    <row r="19" spans="1:2" x14ac:dyDescent="0.2">
      <c r="A19" s="3" t="s">
        <v>350</v>
      </c>
      <c r="B19">
        <v>3</v>
      </c>
    </row>
  </sheetData>
  <sortState xmlns:xlrd2="http://schemas.microsoft.com/office/spreadsheetml/2017/richdata2" ref="A16:B19">
    <sortCondition descending="1" ref="B16:B19"/>
  </sortState>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F538-E5D4-B248-82B1-C68841609CDD}">
  <dimension ref="A1:I21"/>
  <sheetViews>
    <sheetView workbookViewId="0">
      <selection activeCell="U3" sqref="U3"/>
    </sheetView>
  </sheetViews>
  <sheetFormatPr baseColWidth="10" defaultRowHeight="16" x14ac:dyDescent="0.2"/>
  <cols>
    <col min="1" max="1" width="43.83203125" bestFit="1" customWidth="1"/>
    <col min="2" max="2" width="20.33203125" bestFit="1" customWidth="1"/>
    <col min="8" max="8" width="13.83203125" bestFit="1" customWidth="1"/>
    <col min="9" max="9" width="13.1640625" bestFit="1" customWidth="1"/>
  </cols>
  <sheetData>
    <row r="1" spans="1:9" x14ac:dyDescent="0.2">
      <c r="A1" s="1" t="s">
        <v>103</v>
      </c>
      <c r="B1" s="2"/>
      <c r="C1" s="3" t="s">
        <v>104</v>
      </c>
      <c r="D1" s="3" t="s">
        <v>9</v>
      </c>
      <c r="E1" s="3" t="s">
        <v>9</v>
      </c>
      <c r="F1" s="2"/>
      <c r="G1" s="3" t="s">
        <v>18</v>
      </c>
      <c r="H1" s="3" t="s">
        <v>355</v>
      </c>
      <c r="I1" s="3" t="s">
        <v>356</v>
      </c>
    </row>
    <row r="2" spans="1:9" x14ac:dyDescent="0.2">
      <c r="A2" s="3" t="s">
        <v>105</v>
      </c>
      <c r="B2" s="3" t="s">
        <v>106</v>
      </c>
      <c r="C2" s="3" t="s">
        <v>107</v>
      </c>
      <c r="D2" s="3" t="s">
        <v>108</v>
      </c>
      <c r="E2" s="3" t="s">
        <v>316</v>
      </c>
      <c r="F2" s="2"/>
      <c r="G2" s="3" t="s">
        <v>324</v>
      </c>
      <c r="H2">
        <f>scoringR2!H49</f>
        <v>2.4</v>
      </c>
      <c r="I2">
        <f>scoringR2!I49</f>
        <v>3</v>
      </c>
    </row>
    <row r="3" spans="1:9" x14ac:dyDescent="0.2">
      <c r="A3" s="3" t="s">
        <v>110</v>
      </c>
      <c r="B3" s="3" t="s">
        <v>106</v>
      </c>
      <c r="C3" s="3" t="s">
        <v>111</v>
      </c>
      <c r="D3" s="3" t="s">
        <v>108</v>
      </c>
      <c r="E3" s="3" t="s">
        <v>112</v>
      </c>
      <c r="F3" s="2"/>
      <c r="G3" s="3" t="s">
        <v>324</v>
      </c>
      <c r="H3">
        <f>scoringR2!H50</f>
        <v>2</v>
      </c>
      <c r="I3">
        <f>scoringR2!I50</f>
        <v>2</v>
      </c>
    </row>
    <row r="4" spans="1:9" x14ac:dyDescent="0.2">
      <c r="A4" s="3" t="s">
        <v>113</v>
      </c>
      <c r="B4" s="3" t="s">
        <v>106</v>
      </c>
      <c r="C4" s="3" t="s">
        <v>114</v>
      </c>
      <c r="D4" s="3" t="s">
        <v>108</v>
      </c>
      <c r="E4" s="3" t="s">
        <v>115</v>
      </c>
      <c r="F4" s="2"/>
      <c r="G4" s="3" t="s">
        <v>324</v>
      </c>
      <c r="H4">
        <f>scoringR2!H51</f>
        <v>2.2000000000000002</v>
      </c>
      <c r="I4">
        <f>scoringR2!I51</f>
        <v>2</v>
      </c>
    </row>
    <row r="5" spans="1:9" x14ac:dyDescent="0.2">
      <c r="A5" s="3" t="s">
        <v>344</v>
      </c>
      <c r="B5" s="17" t="s">
        <v>245</v>
      </c>
      <c r="C5" s="3" t="s">
        <v>287</v>
      </c>
      <c r="D5" s="17" t="s">
        <v>246</v>
      </c>
      <c r="E5" s="3" t="s">
        <v>316</v>
      </c>
      <c r="F5" s="25" t="s">
        <v>317</v>
      </c>
      <c r="G5" s="3" t="s">
        <v>324</v>
      </c>
      <c r="H5">
        <f>scoringR2!H52</f>
        <v>3</v>
      </c>
      <c r="I5">
        <f>scoringR2!I52</f>
        <v>3</v>
      </c>
    </row>
    <row r="6" spans="1:9" x14ac:dyDescent="0.2">
      <c r="A6" s="3" t="s">
        <v>345</v>
      </c>
      <c r="B6" s="17" t="s">
        <v>310</v>
      </c>
      <c r="C6" s="17" t="s">
        <v>311</v>
      </c>
      <c r="D6" s="17" t="s">
        <v>312</v>
      </c>
      <c r="E6" s="17" t="s">
        <v>76</v>
      </c>
      <c r="F6" s="25" t="s">
        <v>315</v>
      </c>
      <c r="G6" s="3" t="s">
        <v>324</v>
      </c>
      <c r="H6">
        <f>scoringR2!H53</f>
        <v>2.4</v>
      </c>
      <c r="I6">
        <f>scoringR2!I53</f>
        <v>2</v>
      </c>
    </row>
    <row r="8" spans="1:9" x14ac:dyDescent="0.2">
      <c r="A8" s="1" t="s">
        <v>103</v>
      </c>
      <c r="B8" t="s">
        <v>355</v>
      </c>
    </row>
    <row r="9" spans="1:9" x14ac:dyDescent="0.2">
      <c r="A9" s="11" t="s">
        <v>344</v>
      </c>
      <c r="B9">
        <v>3</v>
      </c>
    </row>
    <row r="10" spans="1:9" x14ac:dyDescent="0.2">
      <c r="A10" s="3" t="s">
        <v>105</v>
      </c>
      <c r="B10">
        <v>2.4</v>
      </c>
    </row>
    <row r="11" spans="1:9" x14ac:dyDescent="0.2">
      <c r="A11" s="3" t="s">
        <v>345</v>
      </c>
      <c r="B11">
        <v>2.4</v>
      </c>
    </row>
    <row r="12" spans="1:9" x14ac:dyDescent="0.2">
      <c r="A12" s="3" t="s">
        <v>113</v>
      </c>
      <c r="B12">
        <v>2.2000000000000002</v>
      </c>
    </row>
    <row r="13" spans="1:9" x14ac:dyDescent="0.2">
      <c r="A13" s="3" t="s">
        <v>110</v>
      </c>
      <c r="B13">
        <v>2</v>
      </c>
    </row>
    <row r="16" spans="1:9" x14ac:dyDescent="0.2">
      <c r="A16" s="1" t="s">
        <v>103</v>
      </c>
      <c r="B16" t="s">
        <v>356</v>
      </c>
    </row>
    <row r="17" spans="1:2" x14ac:dyDescent="0.2">
      <c r="A17" s="3" t="s">
        <v>105</v>
      </c>
      <c r="B17">
        <v>3</v>
      </c>
    </row>
    <row r="18" spans="1:2" x14ac:dyDescent="0.2">
      <c r="A18" s="3" t="s">
        <v>344</v>
      </c>
      <c r="B18">
        <v>3</v>
      </c>
    </row>
    <row r="19" spans="1:2" x14ac:dyDescent="0.2">
      <c r="A19" s="3" t="s">
        <v>110</v>
      </c>
      <c r="B19">
        <v>2</v>
      </c>
    </row>
    <row r="20" spans="1:2" x14ac:dyDescent="0.2">
      <c r="A20" s="3" t="s">
        <v>113</v>
      </c>
      <c r="B20">
        <v>2</v>
      </c>
    </row>
    <row r="21" spans="1:2" x14ac:dyDescent="0.2">
      <c r="A21" s="3" t="s">
        <v>345</v>
      </c>
      <c r="B21">
        <v>2</v>
      </c>
    </row>
  </sheetData>
  <sortState xmlns:xlrd2="http://schemas.microsoft.com/office/spreadsheetml/2017/richdata2" ref="A17:B21">
    <sortCondition descending="1" ref="B17:B21"/>
  </sortState>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C0CB-799B-9D42-B21E-93D343B9BAC8}">
  <dimension ref="A1:I26"/>
  <sheetViews>
    <sheetView topLeftCell="A19" workbookViewId="0">
      <selection activeCell="E27" sqref="E27"/>
    </sheetView>
  </sheetViews>
  <sheetFormatPr baseColWidth="10" defaultRowHeight="16" x14ac:dyDescent="0.2"/>
  <cols>
    <col min="1" max="1" width="36" bestFit="1" customWidth="1"/>
    <col min="2" max="2" width="20.6640625" bestFit="1" customWidth="1"/>
    <col min="8" max="8" width="13.83203125" bestFit="1" customWidth="1"/>
    <col min="9" max="9" width="13.1640625" bestFit="1" customWidth="1"/>
  </cols>
  <sheetData>
    <row r="1" spans="1:9" x14ac:dyDescent="0.2">
      <c r="A1" s="1" t="s">
        <v>65</v>
      </c>
      <c r="B1" s="2"/>
      <c r="C1" s="3" t="s">
        <v>66</v>
      </c>
      <c r="D1" s="3" t="s">
        <v>9</v>
      </c>
      <c r="E1" s="3" t="s">
        <v>9</v>
      </c>
      <c r="F1" s="2"/>
      <c r="G1" s="3" t="s">
        <v>18</v>
      </c>
      <c r="H1" s="3" t="s">
        <v>355</v>
      </c>
      <c r="I1" s="3" t="s">
        <v>356</v>
      </c>
    </row>
    <row r="2" spans="1:9" x14ac:dyDescent="0.2">
      <c r="A2" s="3" t="s">
        <v>67</v>
      </c>
      <c r="B2" s="3" t="s">
        <v>68</v>
      </c>
      <c r="C2" s="3" t="s">
        <v>69</v>
      </c>
      <c r="D2" s="3">
        <v>2017</v>
      </c>
      <c r="E2" s="3" t="s">
        <v>70</v>
      </c>
      <c r="F2" s="24" t="s">
        <v>71</v>
      </c>
      <c r="G2" s="3" t="s">
        <v>324</v>
      </c>
      <c r="H2">
        <f>scoringR2!H58</f>
        <v>3</v>
      </c>
      <c r="I2">
        <f>scoringR2!I58</f>
        <v>3</v>
      </c>
    </row>
    <row r="3" spans="1:9" x14ac:dyDescent="0.2">
      <c r="A3" s="3" t="s">
        <v>72</v>
      </c>
      <c r="B3" s="3" t="s">
        <v>73</v>
      </c>
      <c r="C3" s="3" t="s">
        <v>74</v>
      </c>
      <c r="D3" s="3" t="s">
        <v>75</v>
      </c>
      <c r="E3" s="3" t="s">
        <v>76</v>
      </c>
      <c r="F3" s="24" t="s">
        <v>77</v>
      </c>
      <c r="G3" s="3" t="s">
        <v>324</v>
      </c>
      <c r="H3">
        <f>scoringR2!H59</f>
        <v>4</v>
      </c>
      <c r="I3">
        <f>scoringR2!I59</f>
        <v>4</v>
      </c>
    </row>
    <row r="4" spans="1:9" x14ac:dyDescent="0.2">
      <c r="A4" s="28" t="s">
        <v>78</v>
      </c>
      <c r="B4" s="28" t="s">
        <v>79</v>
      </c>
      <c r="C4" s="28" t="s">
        <v>80</v>
      </c>
      <c r="D4" s="28" t="s">
        <v>81</v>
      </c>
      <c r="E4" s="28" t="s">
        <v>76</v>
      </c>
      <c r="F4" s="30" t="s">
        <v>82</v>
      </c>
      <c r="G4" s="28" t="s">
        <v>324</v>
      </c>
      <c r="H4" s="29">
        <f>scoringR2!H60</f>
        <v>4</v>
      </c>
      <c r="I4" s="29">
        <f>scoringR2!I60</f>
        <v>4</v>
      </c>
    </row>
    <row r="5" spans="1:9" x14ac:dyDescent="0.2">
      <c r="A5" s="3" t="s">
        <v>88</v>
      </c>
      <c r="B5" s="3" t="s">
        <v>89</v>
      </c>
      <c r="C5" s="3" t="s">
        <v>90</v>
      </c>
      <c r="D5" s="3" t="s">
        <v>81</v>
      </c>
      <c r="E5" s="3" t="s">
        <v>316</v>
      </c>
      <c r="F5" s="3" t="s">
        <v>92</v>
      </c>
      <c r="G5" s="3" t="s">
        <v>324</v>
      </c>
      <c r="H5">
        <f>scoringR2!H61</f>
        <v>3.6</v>
      </c>
      <c r="I5">
        <f>scoringR2!I61</f>
        <v>4</v>
      </c>
    </row>
    <row r="6" spans="1:9" x14ac:dyDescent="0.2">
      <c r="A6" s="3" t="s">
        <v>93</v>
      </c>
      <c r="B6" s="3" t="s">
        <v>94</v>
      </c>
      <c r="C6" s="3" t="s">
        <v>95</v>
      </c>
      <c r="D6" s="3" t="s">
        <v>96</v>
      </c>
      <c r="E6" s="3" t="s">
        <v>316</v>
      </c>
      <c r="F6" s="24" t="s">
        <v>97</v>
      </c>
      <c r="G6" s="3" t="s">
        <v>324</v>
      </c>
      <c r="H6">
        <f>scoringR2!H62</f>
        <v>3.2</v>
      </c>
      <c r="I6">
        <f>scoringR2!I62</f>
        <v>3</v>
      </c>
    </row>
    <row r="7" spans="1:9" x14ac:dyDescent="0.2">
      <c r="A7" s="3" t="s">
        <v>98</v>
      </c>
      <c r="B7" s="3" t="s">
        <v>99</v>
      </c>
      <c r="C7" s="3" t="s">
        <v>100</v>
      </c>
      <c r="D7" s="3" t="s">
        <v>101</v>
      </c>
      <c r="E7" s="3" t="s">
        <v>25</v>
      </c>
      <c r="F7" s="3" t="s">
        <v>330</v>
      </c>
      <c r="G7" s="3" t="s">
        <v>324</v>
      </c>
      <c r="H7">
        <f>scoringR2!H63</f>
        <v>2.6</v>
      </c>
      <c r="I7">
        <f>scoringR2!I63</f>
        <v>2</v>
      </c>
    </row>
    <row r="8" spans="1:9" x14ac:dyDescent="0.2">
      <c r="A8" s="3" t="s">
        <v>346</v>
      </c>
      <c r="B8" s="3" t="s">
        <v>219</v>
      </c>
      <c r="C8" s="3" t="s">
        <v>347</v>
      </c>
      <c r="D8" s="3" t="s">
        <v>301</v>
      </c>
      <c r="E8" s="3" t="s">
        <v>76</v>
      </c>
      <c r="F8" s="25" t="s">
        <v>302</v>
      </c>
      <c r="G8" s="3" t="s">
        <v>324</v>
      </c>
      <c r="H8">
        <f>scoringR2!H64</f>
        <v>4.5999999999999996</v>
      </c>
      <c r="I8">
        <f>scoringR2!I64</f>
        <v>5</v>
      </c>
    </row>
    <row r="10" spans="1:9" x14ac:dyDescent="0.2">
      <c r="A10" s="1" t="s">
        <v>65</v>
      </c>
      <c r="B10" t="s">
        <v>355</v>
      </c>
    </row>
    <row r="11" spans="1:9" x14ac:dyDescent="0.2">
      <c r="A11" s="3" t="s">
        <v>346</v>
      </c>
      <c r="B11">
        <v>4.5999999999999996</v>
      </c>
    </row>
    <row r="12" spans="1:9" x14ac:dyDescent="0.2">
      <c r="A12" s="3" t="s">
        <v>72</v>
      </c>
      <c r="B12">
        <v>4</v>
      </c>
    </row>
    <row r="13" spans="1:9" x14ac:dyDescent="0.2">
      <c r="A13" s="3" t="s">
        <v>88</v>
      </c>
      <c r="B13">
        <v>3.6</v>
      </c>
    </row>
    <row r="14" spans="1:9" x14ac:dyDescent="0.2">
      <c r="A14" s="3" t="s">
        <v>93</v>
      </c>
      <c r="B14">
        <v>3.2</v>
      </c>
    </row>
    <row r="15" spans="1:9" x14ac:dyDescent="0.2">
      <c r="A15" s="3" t="s">
        <v>67</v>
      </c>
      <c r="B15">
        <v>3</v>
      </c>
    </row>
    <row r="16" spans="1:9" x14ac:dyDescent="0.2">
      <c r="A16" s="3" t="s">
        <v>98</v>
      </c>
      <c r="B16">
        <v>2.6</v>
      </c>
    </row>
    <row r="20" spans="1:2" x14ac:dyDescent="0.2">
      <c r="A20" s="1" t="s">
        <v>65</v>
      </c>
      <c r="B20" t="s">
        <v>356</v>
      </c>
    </row>
    <row r="21" spans="1:2" x14ac:dyDescent="0.2">
      <c r="A21" s="3" t="s">
        <v>346</v>
      </c>
      <c r="B21">
        <v>5</v>
      </c>
    </row>
    <row r="22" spans="1:2" x14ac:dyDescent="0.2">
      <c r="A22" s="3" t="s">
        <v>72</v>
      </c>
      <c r="B22">
        <v>4</v>
      </c>
    </row>
    <row r="23" spans="1:2" x14ac:dyDescent="0.2">
      <c r="A23" s="3" t="s">
        <v>88</v>
      </c>
      <c r="B23">
        <v>4</v>
      </c>
    </row>
    <row r="24" spans="1:2" x14ac:dyDescent="0.2">
      <c r="A24" s="3" t="s">
        <v>67</v>
      </c>
      <c r="B24">
        <v>3</v>
      </c>
    </row>
    <row r="25" spans="1:2" x14ac:dyDescent="0.2">
      <c r="A25" s="3" t="s">
        <v>93</v>
      </c>
      <c r="B25">
        <v>3</v>
      </c>
    </row>
    <row r="26" spans="1:2" x14ac:dyDescent="0.2">
      <c r="A26" s="3" t="s">
        <v>98</v>
      </c>
      <c r="B26">
        <v>2</v>
      </c>
    </row>
  </sheetData>
  <sortState xmlns:xlrd2="http://schemas.microsoft.com/office/spreadsheetml/2017/richdata2" ref="A21:B27">
    <sortCondition descending="1" ref="B21:B27"/>
  </sortState>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FCC1E-D06E-AD40-A3CB-6BE6AD15278A}">
  <dimension ref="A1:Z1009"/>
  <sheetViews>
    <sheetView topLeftCell="A10" workbookViewId="0">
      <selection activeCell="P44" sqref="P44"/>
    </sheetView>
  </sheetViews>
  <sheetFormatPr baseColWidth="10" defaultRowHeight="16" x14ac:dyDescent="0.2"/>
  <sheetData>
    <row r="1" spans="1:26" x14ac:dyDescent="0.2">
      <c r="A1" s="1" t="s">
        <v>322</v>
      </c>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1" t="s">
        <v>0</v>
      </c>
      <c r="B4" s="1" t="s">
        <v>1</v>
      </c>
      <c r="C4" s="1" t="s">
        <v>2</v>
      </c>
      <c r="D4" s="1" t="s">
        <v>3</v>
      </c>
      <c r="E4" s="1" t="s">
        <v>4</v>
      </c>
      <c r="F4" s="1" t="s">
        <v>5</v>
      </c>
      <c r="G4" s="1" t="s">
        <v>323</v>
      </c>
      <c r="H4" s="2"/>
      <c r="I4" s="2"/>
      <c r="J4" s="2"/>
      <c r="K4" s="2"/>
      <c r="L4" s="2"/>
      <c r="M4" s="2"/>
      <c r="N4" s="2"/>
      <c r="O4" s="2"/>
      <c r="P4" s="2"/>
      <c r="Q4" s="2"/>
      <c r="R4" s="2"/>
      <c r="S4" s="2"/>
      <c r="T4" s="2"/>
      <c r="U4" s="2"/>
      <c r="V4" s="2"/>
      <c r="W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1" t="s">
        <v>7</v>
      </c>
      <c r="B6" s="2"/>
      <c r="C6" s="1" t="s">
        <v>8</v>
      </c>
      <c r="D6" s="3" t="s">
        <v>9</v>
      </c>
      <c r="E6" s="3" t="s">
        <v>9</v>
      </c>
      <c r="F6" s="2"/>
      <c r="G6" s="3" t="s">
        <v>18</v>
      </c>
      <c r="H6" s="2"/>
      <c r="I6" s="2"/>
      <c r="J6" s="2"/>
      <c r="K6" s="2"/>
      <c r="L6" s="2"/>
      <c r="M6" s="2"/>
      <c r="N6" s="2"/>
      <c r="O6" s="2"/>
      <c r="P6" s="2"/>
      <c r="Q6" s="2"/>
      <c r="R6" s="2"/>
      <c r="S6" s="2"/>
      <c r="T6" s="2"/>
      <c r="U6" s="2"/>
      <c r="V6" s="2"/>
      <c r="W6" s="2"/>
      <c r="X6" s="2"/>
      <c r="Y6" s="2"/>
      <c r="Z6" s="2"/>
    </row>
    <row r="7" spans="1:26" x14ac:dyDescent="0.2">
      <c r="A7" s="1" t="s">
        <v>10</v>
      </c>
      <c r="B7" s="2"/>
      <c r="C7" s="3" t="s">
        <v>11</v>
      </c>
      <c r="D7" s="3" t="s">
        <v>9</v>
      </c>
      <c r="E7" s="3" t="s">
        <v>9</v>
      </c>
      <c r="F7" s="2"/>
      <c r="G7" s="3" t="s">
        <v>18</v>
      </c>
      <c r="H7" s="2"/>
      <c r="I7" s="2"/>
      <c r="J7" s="2"/>
      <c r="K7" s="2"/>
      <c r="L7" s="2"/>
      <c r="M7" s="2"/>
      <c r="N7" s="2"/>
      <c r="O7" s="2"/>
      <c r="P7" s="2"/>
      <c r="Q7" s="2"/>
      <c r="R7" s="2"/>
      <c r="S7" s="2"/>
      <c r="T7" s="2"/>
      <c r="U7" s="2"/>
      <c r="V7" s="2"/>
      <c r="W7" s="2"/>
      <c r="X7" s="2"/>
      <c r="Y7" s="2"/>
      <c r="Z7" s="2"/>
    </row>
    <row r="8" spans="1:26" x14ac:dyDescent="0.2">
      <c r="A8" s="3" t="s">
        <v>12</v>
      </c>
      <c r="B8" s="3" t="s">
        <v>13</v>
      </c>
      <c r="C8" s="3" t="s">
        <v>263</v>
      </c>
      <c r="D8" s="3" t="s">
        <v>15</v>
      </c>
      <c r="E8" s="3" t="s">
        <v>16</v>
      </c>
      <c r="F8" s="24" t="s">
        <v>17</v>
      </c>
      <c r="G8" s="3" t="s">
        <v>324</v>
      </c>
      <c r="H8" s="17">
        <v>4</v>
      </c>
      <c r="I8" s="2"/>
      <c r="J8" s="2"/>
      <c r="K8" s="2"/>
      <c r="L8" s="2"/>
      <c r="M8" s="2"/>
      <c r="N8" s="2"/>
      <c r="O8" s="2"/>
      <c r="P8" s="2"/>
      <c r="Q8" s="2"/>
      <c r="R8" s="2"/>
      <c r="S8" s="2"/>
      <c r="T8" s="2"/>
      <c r="U8" s="2"/>
      <c r="V8" s="2"/>
      <c r="W8" s="2"/>
      <c r="X8" s="2"/>
      <c r="Y8" s="2"/>
      <c r="Z8" s="2"/>
    </row>
    <row r="9" spans="1:26" x14ac:dyDescent="0.2">
      <c r="A9" s="3" t="s">
        <v>19</v>
      </c>
      <c r="B9" s="3" t="s">
        <v>13</v>
      </c>
      <c r="C9" s="3" t="s">
        <v>264</v>
      </c>
      <c r="D9" s="3" t="s">
        <v>15</v>
      </c>
      <c r="E9" s="3" t="s">
        <v>16</v>
      </c>
      <c r="F9" s="24" t="s">
        <v>17</v>
      </c>
      <c r="G9" s="3" t="s">
        <v>324</v>
      </c>
      <c r="H9" s="17">
        <v>3</v>
      </c>
      <c r="I9" s="2"/>
      <c r="J9" s="2"/>
      <c r="K9" s="2"/>
      <c r="L9" s="2"/>
      <c r="M9" s="2"/>
      <c r="N9" s="2"/>
      <c r="O9" s="2"/>
      <c r="P9" s="2"/>
      <c r="Q9" s="2"/>
      <c r="R9" s="2"/>
      <c r="S9" s="2"/>
      <c r="T9" s="2"/>
      <c r="U9" s="2"/>
      <c r="V9" s="2"/>
      <c r="W9" s="2"/>
      <c r="X9" s="2"/>
      <c r="Y9" s="2"/>
      <c r="Z9" s="2"/>
    </row>
    <row r="10" spans="1:26" x14ac:dyDescent="0.2">
      <c r="A10" s="3" t="s">
        <v>21</v>
      </c>
      <c r="B10" s="3" t="s">
        <v>22</v>
      </c>
      <c r="C10" s="3" t="s">
        <v>262</v>
      </c>
      <c r="D10" s="3" t="s">
        <v>24</v>
      </c>
      <c r="E10" s="3" t="s">
        <v>25</v>
      </c>
      <c r="F10" s="24" t="s">
        <v>26</v>
      </c>
      <c r="G10" s="3" t="s">
        <v>324</v>
      </c>
      <c r="H10" s="17">
        <v>5</v>
      </c>
      <c r="I10" s="2"/>
      <c r="J10" s="2"/>
      <c r="K10" s="2"/>
      <c r="L10" s="2"/>
      <c r="M10" s="2"/>
      <c r="N10" s="2"/>
      <c r="O10" s="2"/>
      <c r="P10" s="2"/>
      <c r="Q10" s="2"/>
      <c r="R10" s="2"/>
      <c r="S10" s="2"/>
      <c r="T10" s="2"/>
      <c r="U10" s="2"/>
      <c r="V10" s="2"/>
      <c r="W10" s="2"/>
      <c r="X10" s="2"/>
      <c r="Y10" s="2"/>
      <c r="Z10" s="2"/>
    </row>
    <row r="11" spans="1:26" x14ac:dyDescent="0.2">
      <c r="A11" s="3" t="s">
        <v>33</v>
      </c>
      <c r="B11" s="3" t="s">
        <v>28</v>
      </c>
      <c r="C11" s="3" t="s">
        <v>34</v>
      </c>
      <c r="D11" s="3" t="s">
        <v>30</v>
      </c>
      <c r="E11" s="3" t="s">
        <v>31</v>
      </c>
      <c r="F11" s="3" t="s">
        <v>325</v>
      </c>
      <c r="G11" s="3" t="s">
        <v>324</v>
      </c>
      <c r="H11" s="17">
        <v>5</v>
      </c>
      <c r="I11" s="2"/>
      <c r="J11" s="2"/>
      <c r="K11" s="2"/>
      <c r="L11" s="2"/>
      <c r="M11" s="2"/>
      <c r="N11" s="2"/>
      <c r="O11" s="2"/>
      <c r="P11" s="2"/>
      <c r="Q11" s="2"/>
      <c r="R11" s="2"/>
      <c r="S11" s="2"/>
      <c r="T11" s="2"/>
      <c r="U11" s="2"/>
      <c r="V11" s="2"/>
      <c r="W11" s="2"/>
      <c r="X11" s="2"/>
      <c r="Y11" s="2"/>
      <c r="Z11" s="2"/>
    </row>
    <row r="12" spans="1:26" x14ac:dyDescent="0.2">
      <c r="A12" s="3" t="s">
        <v>326</v>
      </c>
      <c r="B12" s="3" t="s">
        <v>13</v>
      </c>
      <c r="C12" s="3" t="s">
        <v>281</v>
      </c>
      <c r="D12" s="3" t="s">
        <v>15</v>
      </c>
      <c r="E12" s="3" t="s">
        <v>16</v>
      </c>
      <c r="F12" s="24" t="s">
        <v>17</v>
      </c>
      <c r="G12" s="3" t="s">
        <v>324</v>
      </c>
      <c r="H12" s="17">
        <v>4</v>
      </c>
      <c r="I12" s="2"/>
      <c r="J12" s="2"/>
      <c r="K12" s="2"/>
      <c r="L12" s="2"/>
      <c r="M12" s="2"/>
      <c r="N12" s="2"/>
      <c r="O12" s="2"/>
      <c r="P12" s="2"/>
      <c r="Q12" s="2"/>
      <c r="R12" s="2"/>
      <c r="S12" s="2"/>
      <c r="T12" s="2"/>
      <c r="U12" s="2"/>
      <c r="V12" s="2"/>
      <c r="W12" s="2"/>
      <c r="X12" s="2"/>
      <c r="Y12" s="2"/>
      <c r="Z12" s="2"/>
    </row>
    <row r="13" spans="1:26" x14ac:dyDescent="0.2">
      <c r="A13" s="3" t="s">
        <v>327</v>
      </c>
      <c r="B13" s="3" t="s">
        <v>314</v>
      </c>
      <c r="C13" s="3" t="s">
        <v>261</v>
      </c>
      <c r="D13" s="3" t="s">
        <v>314</v>
      </c>
      <c r="E13" s="3" t="s">
        <v>314</v>
      </c>
      <c r="F13" s="3" t="s">
        <v>314</v>
      </c>
      <c r="G13" s="3" t="s">
        <v>324</v>
      </c>
      <c r="H13" s="17">
        <v>5</v>
      </c>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1" t="s">
        <v>36</v>
      </c>
      <c r="B15" s="2"/>
      <c r="C15" s="3" t="s">
        <v>37</v>
      </c>
      <c r="D15" s="3" t="s">
        <v>9</v>
      </c>
      <c r="E15" s="3" t="s">
        <v>9</v>
      </c>
      <c r="F15" s="2"/>
      <c r="G15" s="3" t="s">
        <v>18</v>
      </c>
      <c r="H15" s="2"/>
      <c r="I15" s="2"/>
      <c r="J15" s="2"/>
      <c r="K15" s="2"/>
      <c r="L15" s="2"/>
      <c r="M15" s="2"/>
      <c r="N15" s="2"/>
      <c r="O15" s="2"/>
      <c r="P15" s="2"/>
      <c r="Q15" s="2"/>
      <c r="R15" s="2"/>
      <c r="S15" s="2"/>
      <c r="T15" s="2"/>
      <c r="U15" s="2"/>
      <c r="V15" s="2"/>
      <c r="W15" s="2"/>
      <c r="X15" s="2"/>
      <c r="Y15" s="2"/>
      <c r="Z15" s="2"/>
    </row>
    <row r="16" spans="1:26" x14ac:dyDescent="0.2">
      <c r="A16" s="3" t="s">
        <v>265</v>
      </c>
      <c r="B16" s="3" t="s">
        <v>39</v>
      </c>
      <c r="C16" s="3" t="s">
        <v>40</v>
      </c>
      <c r="D16" s="3" t="s">
        <v>41</v>
      </c>
      <c r="E16" s="3" t="s">
        <v>42</v>
      </c>
      <c r="F16" s="3" t="s">
        <v>328</v>
      </c>
      <c r="G16" s="3" t="s">
        <v>324</v>
      </c>
      <c r="H16" s="17">
        <v>5</v>
      </c>
      <c r="I16" s="2"/>
      <c r="J16" s="2"/>
      <c r="K16" s="2"/>
      <c r="L16" s="2"/>
      <c r="M16" s="2"/>
      <c r="N16" s="2"/>
      <c r="O16" s="2"/>
      <c r="P16" s="2"/>
      <c r="Q16" s="2"/>
      <c r="R16" s="2"/>
      <c r="S16" s="2"/>
      <c r="T16" s="2"/>
      <c r="U16" s="2"/>
      <c r="V16" s="2"/>
      <c r="W16" s="2"/>
      <c r="X16" s="2"/>
      <c r="Y16" s="2"/>
      <c r="Z16" s="2"/>
    </row>
    <row r="17" spans="1:26" x14ac:dyDescent="0.2">
      <c r="A17" s="3" t="s">
        <v>44</v>
      </c>
      <c r="B17" s="3" t="s">
        <v>45</v>
      </c>
      <c r="C17" s="3" t="s">
        <v>46</v>
      </c>
      <c r="D17" s="3" t="s">
        <v>47</v>
      </c>
      <c r="E17" s="3" t="s">
        <v>48</v>
      </c>
      <c r="F17" s="3" t="s">
        <v>329</v>
      </c>
      <c r="G17" s="3" t="s">
        <v>324</v>
      </c>
      <c r="H17" s="17">
        <v>4</v>
      </c>
      <c r="I17" s="2"/>
      <c r="J17" s="2"/>
      <c r="K17" s="2"/>
      <c r="L17" s="2"/>
      <c r="M17" s="2"/>
      <c r="N17" s="2"/>
      <c r="O17" s="2"/>
      <c r="P17" s="2"/>
      <c r="Q17" s="2"/>
      <c r="R17" s="2"/>
      <c r="S17" s="2"/>
      <c r="T17" s="2"/>
      <c r="U17" s="2"/>
      <c r="V17" s="2"/>
      <c r="W17" s="2"/>
      <c r="X17" s="2"/>
      <c r="Y17" s="2"/>
      <c r="Z17" s="2"/>
    </row>
    <row r="18" spans="1:26" x14ac:dyDescent="0.2">
      <c r="A18" s="3" t="s">
        <v>50</v>
      </c>
      <c r="B18" s="3" t="s">
        <v>51</v>
      </c>
      <c r="C18" s="3" t="s">
        <v>52</v>
      </c>
      <c r="D18" s="3" t="s">
        <v>53</v>
      </c>
      <c r="E18" s="3" t="s">
        <v>48</v>
      </c>
      <c r="F18" s="3" t="s">
        <v>54</v>
      </c>
      <c r="G18" s="3" t="s">
        <v>324</v>
      </c>
      <c r="H18" s="17">
        <v>5</v>
      </c>
      <c r="I18" s="2"/>
      <c r="J18" s="2"/>
      <c r="K18" s="2"/>
      <c r="L18" s="2"/>
      <c r="M18" s="2"/>
      <c r="N18" s="2"/>
      <c r="O18" s="2"/>
      <c r="P18" s="2"/>
      <c r="Q18" s="2"/>
      <c r="R18" s="2"/>
      <c r="S18" s="2"/>
      <c r="T18" s="2"/>
      <c r="U18" s="2"/>
      <c r="V18" s="2"/>
      <c r="W18" s="2"/>
      <c r="X18" s="2"/>
      <c r="Y18" s="2"/>
      <c r="Z18" s="2"/>
    </row>
    <row r="19" spans="1:26" x14ac:dyDescent="0.2">
      <c r="A19" s="3" t="s">
        <v>266</v>
      </c>
      <c r="B19" s="3" t="s">
        <v>56</v>
      </c>
      <c r="C19" s="3" t="s">
        <v>57</v>
      </c>
      <c r="D19" s="3" t="s">
        <v>58</v>
      </c>
      <c r="E19" s="3" t="s">
        <v>59</v>
      </c>
      <c r="F19" s="3" t="s">
        <v>60</v>
      </c>
      <c r="G19" s="3" t="s">
        <v>324</v>
      </c>
      <c r="H19" s="17">
        <v>4</v>
      </c>
      <c r="I19" s="2"/>
      <c r="J19" s="2"/>
      <c r="K19" s="2"/>
      <c r="L19" s="2"/>
      <c r="M19" s="2"/>
      <c r="N19" s="2"/>
      <c r="O19" s="2"/>
      <c r="P19" s="2"/>
      <c r="Q19" s="2"/>
      <c r="R19" s="2"/>
      <c r="S19" s="2"/>
      <c r="T19" s="2"/>
      <c r="U19" s="2"/>
      <c r="V19" s="2"/>
      <c r="W19" s="2"/>
      <c r="X19" s="2"/>
      <c r="Y19" s="2"/>
      <c r="Z19" s="2"/>
    </row>
    <row r="20" spans="1:26" x14ac:dyDescent="0.2">
      <c r="A20" s="3" t="s">
        <v>61</v>
      </c>
      <c r="B20" s="3" t="s">
        <v>51</v>
      </c>
      <c r="C20" s="3" t="s">
        <v>62</v>
      </c>
      <c r="D20" s="3" t="s">
        <v>53</v>
      </c>
      <c r="E20" s="3" t="s">
        <v>48</v>
      </c>
      <c r="F20" s="3" t="s">
        <v>54</v>
      </c>
      <c r="G20" s="3" t="s">
        <v>324</v>
      </c>
      <c r="H20" s="17">
        <v>3</v>
      </c>
      <c r="I20" s="2"/>
      <c r="J20" s="2"/>
      <c r="K20" s="2"/>
      <c r="L20" s="2"/>
      <c r="M20" s="2"/>
      <c r="N20" s="2"/>
      <c r="O20" s="2"/>
      <c r="P20" s="2"/>
      <c r="Q20" s="2"/>
      <c r="R20" s="2"/>
      <c r="S20" s="2"/>
      <c r="T20" s="2"/>
      <c r="U20" s="2"/>
      <c r="V20" s="2"/>
      <c r="W20" s="2"/>
      <c r="X20" s="2"/>
      <c r="Y20" s="2"/>
      <c r="Z20" s="2"/>
    </row>
    <row r="21" spans="1:26" x14ac:dyDescent="0.2">
      <c r="A21" s="3" t="s">
        <v>254</v>
      </c>
      <c r="B21" s="3" t="s">
        <v>99</v>
      </c>
      <c r="C21" s="3" t="s">
        <v>129</v>
      </c>
      <c r="D21" s="3" t="s">
        <v>101</v>
      </c>
      <c r="E21" s="3" t="s">
        <v>25</v>
      </c>
      <c r="F21" s="3" t="s">
        <v>330</v>
      </c>
      <c r="G21" s="3" t="s">
        <v>324</v>
      </c>
      <c r="H21" s="17">
        <v>4</v>
      </c>
      <c r="I21" s="17" t="s">
        <v>331</v>
      </c>
      <c r="J21" s="2"/>
      <c r="K21" s="2"/>
      <c r="L21" s="2"/>
      <c r="M21" s="2"/>
      <c r="N21" s="2"/>
      <c r="O21" s="2"/>
      <c r="P21" s="2"/>
      <c r="Q21" s="2"/>
      <c r="R21" s="2"/>
      <c r="S21" s="2"/>
      <c r="T21" s="2"/>
      <c r="U21" s="2"/>
      <c r="V21" s="2"/>
      <c r="W21" s="2"/>
      <c r="X21" s="2"/>
      <c r="Y21" s="2"/>
      <c r="Z21" s="2"/>
    </row>
    <row r="22" spans="1:26" x14ac:dyDescent="0.2">
      <c r="A22" s="3" t="s">
        <v>130</v>
      </c>
      <c r="B22" s="3" t="s">
        <v>99</v>
      </c>
      <c r="C22" s="3" t="s">
        <v>131</v>
      </c>
      <c r="D22" s="3" t="s">
        <v>101</v>
      </c>
      <c r="E22" s="3" t="s">
        <v>25</v>
      </c>
      <c r="F22" s="3" t="s">
        <v>330</v>
      </c>
      <c r="G22" s="3" t="s">
        <v>324</v>
      </c>
      <c r="H22" s="17">
        <v>2</v>
      </c>
      <c r="I22" s="2"/>
      <c r="J22" s="2"/>
      <c r="K22" s="2"/>
      <c r="L22" s="2"/>
      <c r="M22" s="2"/>
      <c r="N22" s="2"/>
      <c r="O22" s="2"/>
      <c r="P22" s="2"/>
      <c r="Q22" s="2"/>
      <c r="R22" s="2"/>
      <c r="S22" s="2"/>
      <c r="T22" s="2"/>
      <c r="U22" s="2"/>
      <c r="V22" s="2"/>
      <c r="W22" s="2"/>
      <c r="X22" s="2"/>
      <c r="Y22" s="2"/>
      <c r="Z22" s="2"/>
    </row>
    <row r="23" spans="1:26" x14ac:dyDescent="0.2">
      <c r="A23" s="3" t="s">
        <v>267</v>
      </c>
      <c r="B23" s="3" t="s">
        <v>28</v>
      </c>
      <c r="C23" s="3" t="s">
        <v>29</v>
      </c>
      <c r="D23" s="3" t="s">
        <v>30</v>
      </c>
      <c r="E23" s="3" t="s">
        <v>31</v>
      </c>
      <c r="F23" s="3" t="s">
        <v>325</v>
      </c>
      <c r="G23" s="3" t="s">
        <v>324</v>
      </c>
      <c r="H23" s="17">
        <v>5</v>
      </c>
      <c r="I23" s="2"/>
      <c r="J23" s="2"/>
      <c r="K23" s="2"/>
      <c r="L23" s="2"/>
      <c r="M23" s="2"/>
      <c r="N23" s="2"/>
      <c r="O23" s="2"/>
      <c r="P23" s="2"/>
      <c r="Q23" s="2"/>
      <c r="R23" s="2"/>
      <c r="S23" s="2"/>
      <c r="T23" s="2"/>
      <c r="U23" s="2"/>
      <c r="V23" s="2"/>
      <c r="W23" s="2"/>
      <c r="X23" s="2"/>
      <c r="Y23" s="2"/>
      <c r="Z23" s="2"/>
    </row>
    <row r="24" spans="1:26" x14ac:dyDescent="0.2">
      <c r="A24" s="3" t="s">
        <v>332</v>
      </c>
      <c r="B24" s="3" t="s">
        <v>51</v>
      </c>
      <c r="C24" s="3" t="s">
        <v>272</v>
      </c>
      <c r="D24" s="3" t="s">
        <v>53</v>
      </c>
      <c r="E24" s="3" t="s">
        <v>48</v>
      </c>
      <c r="F24" s="3" t="s">
        <v>54</v>
      </c>
      <c r="G24" s="3" t="s">
        <v>324</v>
      </c>
      <c r="H24" s="17">
        <v>3</v>
      </c>
      <c r="I24" s="17" t="s">
        <v>333</v>
      </c>
      <c r="J24" s="2"/>
      <c r="K24" s="2"/>
      <c r="L24" s="2"/>
      <c r="M24" s="2"/>
      <c r="N24" s="2"/>
      <c r="O24" s="2"/>
      <c r="P24" s="2"/>
      <c r="Q24" s="2"/>
      <c r="R24" s="2"/>
      <c r="S24" s="2"/>
      <c r="T24" s="2"/>
      <c r="U24" s="2"/>
      <c r="V24" s="2"/>
      <c r="W24" s="2"/>
      <c r="X24" s="2"/>
      <c r="Y24" s="2"/>
      <c r="Z24" s="2"/>
    </row>
    <row r="25" spans="1:26" x14ac:dyDescent="0.2">
      <c r="A25" s="3" t="s">
        <v>334</v>
      </c>
      <c r="B25" s="3" t="s">
        <v>335</v>
      </c>
      <c r="C25" s="3" t="s">
        <v>289</v>
      </c>
      <c r="D25" s="3" t="s">
        <v>270</v>
      </c>
      <c r="E25" s="3" t="s">
        <v>31</v>
      </c>
      <c r="F25" s="24" t="s">
        <v>271</v>
      </c>
      <c r="G25" s="3" t="s">
        <v>324</v>
      </c>
      <c r="H25" s="17">
        <v>3</v>
      </c>
      <c r="I25" s="2"/>
      <c r="J25" s="2"/>
      <c r="K25" s="2"/>
      <c r="L25" s="2"/>
      <c r="M25" s="2"/>
      <c r="N25" s="2"/>
      <c r="O25" s="2"/>
      <c r="P25" s="2"/>
      <c r="Q25" s="2"/>
      <c r="R25" s="2"/>
      <c r="S25" s="2"/>
      <c r="T25" s="2"/>
      <c r="U25" s="2"/>
      <c r="V25" s="2"/>
      <c r="W25" s="2"/>
      <c r="X25" s="2"/>
      <c r="Y25" s="2"/>
      <c r="Z25" s="2"/>
    </row>
    <row r="26" spans="1:26" x14ac:dyDescent="0.2">
      <c r="A26" s="3" t="s">
        <v>336</v>
      </c>
      <c r="B26" s="3" t="s">
        <v>51</v>
      </c>
      <c r="C26" s="3" t="s">
        <v>290</v>
      </c>
      <c r="D26" s="3" t="s">
        <v>53</v>
      </c>
      <c r="E26" s="3" t="s">
        <v>48</v>
      </c>
      <c r="F26" s="3" t="s">
        <v>54</v>
      </c>
      <c r="G26" s="3" t="s">
        <v>324</v>
      </c>
      <c r="H26" s="17">
        <v>3</v>
      </c>
      <c r="I26" s="2"/>
      <c r="J26" s="2"/>
      <c r="K26" s="2"/>
      <c r="L26" s="2"/>
      <c r="M26" s="2"/>
      <c r="N26" s="2"/>
      <c r="O26" s="2"/>
      <c r="P26" s="2"/>
      <c r="Q26" s="2"/>
      <c r="R26" s="2"/>
      <c r="S26" s="2"/>
      <c r="T26" s="2"/>
      <c r="U26" s="2"/>
      <c r="V26" s="2"/>
      <c r="W26" s="2"/>
      <c r="X26" s="2"/>
      <c r="Y26" s="2"/>
      <c r="Z26" s="2"/>
    </row>
    <row r="27" spans="1:26" x14ac:dyDescent="0.2">
      <c r="A27" s="3" t="s">
        <v>337</v>
      </c>
      <c r="B27" s="3" t="s">
        <v>51</v>
      </c>
      <c r="C27" s="3" t="s">
        <v>292</v>
      </c>
      <c r="D27" s="3" t="s">
        <v>53</v>
      </c>
      <c r="E27" s="3" t="s">
        <v>48</v>
      </c>
      <c r="F27" s="3" t="s">
        <v>54</v>
      </c>
      <c r="G27" s="3" t="s">
        <v>324</v>
      </c>
      <c r="H27" s="17">
        <v>5</v>
      </c>
      <c r="I27" s="2"/>
      <c r="J27" s="2"/>
      <c r="K27" s="2"/>
      <c r="L27" s="2"/>
      <c r="M27" s="2"/>
      <c r="N27" s="2"/>
      <c r="O27" s="2"/>
      <c r="P27" s="2"/>
      <c r="Q27" s="2"/>
      <c r="R27" s="2"/>
      <c r="S27" s="2"/>
      <c r="T27" s="2"/>
      <c r="U27" s="2"/>
      <c r="V27" s="2"/>
      <c r="W27" s="2"/>
      <c r="X27" s="2"/>
      <c r="Y27" s="2"/>
      <c r="Z27" s="2"/>
    </row>
    <row r="28" spans="1:26" x14ac:dyDescent="0.2">
      <c r="A28" s="3" t="s">
        <v>338</v>
      </c>
      <c r="B28" s="3" t="s">
        <v>51</v>
      </c>
      <c r="C28" s="3" t="s">
        <v>291</v>
      </c>
      <c r="D28" s="3" t="s">
        <v>53</v>
      </c>
      <c r="E28" s="3" t="s">
        <v>48</v>
      </c>
      <c r="F28" s="3" t="s">
        <v>54</v>
      </c>
      <c r="G28" s="3" t="s">
        <v>324</v>
      </c>
      <c r="H28" s="17">
        <v>5</v>
      </c>
      <c r="I28" s="2"/>
      <c r="J28" s="2"/>
      <c r="K28" s="2"/>
      <c r="L28" s="2"/>
      <c r="M28" s="2"/>
      <c r="N28" s="2"/>
      <c r="O28" s="2"/>
      <c r="P28" s="2"/>
      <c r="Q28" s="2"/>
      <c r="R28" s="2"/>
      <c r="S28" s="2"/>
      <c r="T28" s="2"/>
      <c r="U28" s="2"/>
      <c r="V28" s="2"/>
      <c r="W28" s="2"/>
      <c r="X28" s="2"/>
      <c r="Y28" s="2"/>
      <c r="Z28" s="2"/>
    </row>
    <row r="29" spans="1:26" x14ac:dyDescent="0.2">
      <c r="A29" s="3" t="s">
        <v>268</v>
      </c>
      <c r="B29" s="2"/>
      <c r="C29" s="2"/>
      <c r="D29" s="2"/>
      <c r="E29" s="2"/>
      <c r="F29" s="2"/>
      <c r="G29" s="3" t="s">
        <v>324</v>
      </c>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1" t="s">
        <v>139</v>
      </c>
      <c r="B31" s="2"/>
      <c r="C31" s="3" t="s">
        <v>116</v>
      </c>
      <c r="D31" s="3" t="s">
        <v>9</v>
      </c>
      <c r="E31" s="3" t="s">
        <v>9</v>
      </c>
      <c r="F31" s="2"/>
      <c r="G31" s="3" t="s">
        <v>18</v>
      </c>
      <c r="H31" s="2"/>
      <c r="I31" s="2"/>
      <c r="J31" s="2"/>
      <c r="K31" s="2"/>
      <c r="L31" s="2"/>
      <c r="M31" s="2"/>
      <c r="N31" s="2"/>
      <c r="O31" s="2"/>
      <c r="P31" s="2"/>
      <c r="Q31" s="2"/>
      <c r="R31" s="2"/>
      <c r="S31" s="2"/>
      <c r="T31" s="2"/>
      <c r="U31" s="2"/>
      <c r="V31" s="2"/>
      <c r="W31" s="2"/>
      <c r="X31" s="2"/>
      <c r="Y31" s="2"/>
      <c r="Z31" s="2"/>
    </row>
    <row r="32" spans="1:26" x14ac:dyDescent="0.2">
      <c r="A32" s="3" t="s">
        <v>117</v>
      </c>
      <c r="B32" s="3" t="s">
        <v>118</v>
      </c>
      <c r="C32" s="3" t="s">
        <v>119</v>
      </c>
      <c r="D32" s="3" t="s">
        <v>120</v>
      </c>
      <c r="E32" s="3" t="s">
        <v>76</v>
      </c>
      <c r="F32" s="24" t="s">
        <v>121</v>
      </c>
      <c r="G32" s="3" t="s">
        <v>324</v>
      </c>
      <c r="H32" s="17">
        <v>4</v>
      </c>
      <c r="I32" s="2"/>
      <c r="J32" s="2"/>
      <c r="K32" s="2"/>
      <c r="L32" s="2"/>
      <c r="M32" s="2"/>
      <c r="N32" s="2"/>
      <c r="O32" s="2"/>
      <c r="P32" s="2"/>
      <c r="Q32" s="2"/>
      <c r="R32" s="2"/>
      <c r="S32" s="2"/>
      <c r="T32" s="2"/>
      <c r="U32" s="2"/>
      <c r="V32" s="2"/>
      <c r="W32" s="2"/>
      <c r="X32" s="2"/>
      <c r="Y32" s="2"/>
      <c r="Z32" s="2"/>
    </row>
    <row r="33" spans="1:26" x14ac:dyDescent="0.2">
      <c r="A33" s="3" t="s">
        <v>122</v>
      </c>
      <c r="B33" s="3" t="s">
        <v>99</v>
      </c>
      <c r="C33" s="3" t="s">
        <v>123</v>
      </c>
      <c r="D33" s="3" t="s">
        <v>101</v>
      </c>
      <c r="E33" s="3" t="s">
        <v>25</v>
      </c>
      <c r="F33" s="25" t="s">
        <v>307</v>
      </c>
      <c r="G33" s="3" t="s">
        <v>324</v>
      </c>
      <c r="H33" s="17">
        <v>4</v>
      </c>
      <c r="I33" s="2"/>
      <c r="J33" s="2"/>
      <c r="K33" s="2"/>
      <c r="L33" s="2"/>
      <c r="M33" s="2"/>
      <c r="N33" s="2"/>
      <c r="O33" s="2"/>
      <c r="P33" s="2"/>
      <c r="Q33" s="2"/>
      <c r="R33" s="2"/>
      <c r="S33" s="2"/>
      <c r="T33" s="2"/>
      <c r="U33" s="2"/>
      <c r="V33" s="2"/>
      <c r="W33" s="2"/>
      <c r="X33" s="2"/>
      <c r="Y33" s="2"/>
      <c r="Z33" s="2"/>
    </row>
    <row r="34" spans="1:26" x14ac:dyDescent="0.2">
      <c r="A34" s="3" t="s">
        <v>124</v>
      </c>
      <c r="B34" s="3" t="s">
        <v>125</v>
      </c>
      <c r="C34" s="3" t="s">
        <v>126</v>
      </c>
      <c r="D34" s="3" t="s">
        <v>127</v>
      </c>
      <c r="E34" s="3" t="s">
        <v>76</v>
      </c>
      <c r="F34" s="24" t="s">
        <v>121</v>
      </c>
      <c r="G34" s="3" t="s">
        <v>324</v>
      </c>
      <c r="H34" s="17">
        <v>4</v>
      </c>
      <c r="I34" s="2"/>
      <c r="J34" s="2"/>
      <c r="K34" s="2"/>
      <c r="L34" s="2"/>
      <c r="M34" s="2"/>
      <c r="N34" s="2"/>
      <c r="O34" s="2"/>
      <c r="P34" s="2"/>
      <c r="Q34" s="2"/>
      <c r="R34" s="2"/>
      <c r="S34" s="2"/>
      <c r="T34" s="2"/>
      <c r="U34" s="2"/>
      <c r="V34" s="2"/>
      <c r="W34" s="2"/>
      <c r="X34" s="2"/>
      <c r="Y34" s="2"/>
      <c r="Z34" s="2"/>
    </row>
    <row r="35" spans="1:26" x14ac:dyDescent="0.2">
      <c r="A35" s="3" t="s">
        <v>132</v>
      </c>
      <c r="B35" s="3" t="s">
        <v>133</v>
      </c>
      <c r="C35" s="3" t="s">
        <v>134</v>
      </c>
      <c r="D35" s="3">
        <v>2020</v>
      </c>
      <c r="E35" s="3" t="s">
        <v>76</v>
      </c>
      <c r="F35" s="25" t="s">
        <v>135</v>
      </c>
      <c r="G35" s="3" t="s">
        <v>324</v>
      </c>
      <c r="H35" s="17">
        <v>2</v>
      </c>
      <c r="I35" s="2"/>
      <c r="J35" s="2"/>
      <c r="K35" s="2"/>
      <c r="L35" s="2"/>
      <c r="M35" s="2"/>
      <c r="N35" s="2"/>
      <c r="O35" s="2"/>
      <c r="P35" s="2"/>
      <c r="Q35" s="2"/>
      <c r="R35" s="2"/>
      <c r="S35" s="2"/>
      <c r="T35" s="2"/>
      <c r="U35" s="2"/>
      <c r="V35" s="2"/>
      <c r="W35" s="2"/>
      <c r="X35" s="2"/>
      <c r="Y35" s="2"/>
      <c r="Z35" s="2"/>
    </row>
    <row r="36" spans="1:26" x14ac:dyDescent="0.2">
      <c r="A36" s="3" t="s">
        <v>339</v>
      </c>
      <c r="B36" s="3" t="s">
        <v>340</v>
      </c>
      <c r="C36" s="3" t="s">
        <v>294</v>
      </c>
      <c r="D36" s="3" t="s">
        <v>293</v>
      </c>
      <c r="E36" s="3" t="s">
        <v>76</v>
      </c>
      <c r="F36" s="25" t="s">
        <v>295</v>
      </c>
      <c r="G36" s="3" t="s">
        <v>324</v>
      </c>
      <c r="H36" s="17">
        <v>4</v>
      </c>
      <c r="I36" s="2"/>
      <c r="J36" s="2"/>
      <c r="K36" s="2"/>
      <c r="L36" s="2"/>
      <c r="M36" s="2"/>
      <c r="N36" s="2"/>
      <c r="O36" s="2"/>
      <c r="P36" s="2"/>
      <c r="Q36" s="2"/>
      <c r="R36" s="2"/>
      <c r="S36" s="2"/>
      <c r="T36" s="2"/>
      <c r="U36" s="2"/>
      <c r="V36" s="2"/>
      <c r="W36" s="2"/>
      <c r="X36" s="2"/>
      <c r="Y36" s="2"/>
      <c r="Z36" s="2"/>
    </row>
    <row r="37" spans="1:26" x14ac:dyDescent="0.2">
      <c r="A37" s="3" t="s">
        <v>341</v>
      </c>
      <c r="B37" s="3" t="s">
        <v>297</v>
      </c>
      <c r="C37" s="3" t="s">
        <v>282</v>
      </c>
      <c r="D37" s="3" t="s">
        <v>299</v>
      </c>
      <c r="E37" s="3" t="s">
        <v>300</v>
      </c>
      <c r="F37" s="25" t="s">
        <v>298</v>
      </c>
      <c r="G37" s="3" t="s">
        <v>324</v>
      </c>
      <c r="H37" s="17">
        <v>5</v>
      </c>
      <c r="I37" s="2"/>
      <c r="J37" s="2"/>
      <c r="K37" s="2"/>
      <c r="L37" s="2"/>
      <c r="M37" s="2"/>
      <c r="N37" s="2"/>
      <c r="O37" s="2"/>
      <c r="P37" s="2"/>
      <c r="Q37" s="2"/>
      <c r="R37" s="2"/>
      <c r="S37" s="2"/>
      <c r="T37" s="2"/>
      <c r="U37" s="2"/>
      <c r="V37" s="2"/>
      <c r="W37" s="2"/>
      <c r="X37" s="2"/>
      <c r="Y37" s="2"/>
      <c r="Z37" s="2"/>
    </row>
    <row r="38" spans="1:26" x14ac:dyDescent="0.2">
      <c r="A38" s="3" t="s">
        <v>342</v>
      </c>
      <c r="B38" s="2" t="s">
        <v>305</v>
      </c>
      <c r="C38" s="3" t="s">
        <v>284</v>
      </c>
      <c r="D38" s="3" t="s">
        <v>306</v>
      </c>
      <c r="E38" s="3" t="s">
        <v>76</v>
      </c>
      <c r="F38" s="25" t="s">
        <v>308</v>
      </c>
      <c r="G38" s="3" t="s">
        <v>324</v>
      </c>
      <c r="H38" s="17">
        <v>4</v>
      </c>
      <c r="I38" s="2"/>
      <c r="J38" s="2"/>
      <c r="K38" s="2"/>
      <c r="L38" s="2"/>
      <c r="M38" s="2"/>
      <c r="N38" s="2"/>
      <c r="O38" s="2"/>
      <c r="P38" s="2"/>
      <c r="Q38" s="2"/>
      <c r="R38" s="2"/>
      <c r="S38" s="2"/>
      <c r="T38" s="2"/>
      <c r="U38" s="2"/>
      <c r="V38" s="2"/>
      <c r="W38" s="2"/>
      <c r="X38" s="2"/>
      <c r="Y38" s="2"/>
      <c r="Z38" s="2"/>
    </row>
    <row r="39" spans="1:26" x14ac:dyDescent="0.2">
      <c r="A39" s="3" t="s">
        <v>343</v>
      </c>
      <c r="B39" s="2" t="s">
        <v>273</v>
      </c>
      <c r="C39" s="2" t="s">
        <v>283</v>
      </c>
      <c r="D39" s="2" t="s">
        <v>241</v>
      </c>
      <c r="E39" s="3" t="s">
        <v>16</v>
      </c>
      <c r="F39" s="25" t="s">
        <v>274</v>
      </c>
      <c r="G39" s="3" t="s">
        <v>324</v>
      </c>
      <c r="H39" s="17">
        <v>4</v>
      </c>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3" t="s">
        <v>324</v>
      </c>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1" t="s">
        <v>63</v>
      </c>
      <c r="B42" s="2"/>
      <c r="C42" s="1" t="s">
        <v>64</v>
      </c>
      <c r="D42" s="3" t="s">
        <v>9</v>
      </c>
      <c r="E42" s="3" t="s">
        <v>9</v>
      </c>
      <c r="F42" s="2"/>
      <c r="G42" s="3" t="s">
        <v>18</v>
      </c>
      <c r="H42" s="2"/>
      <c r="I42" s="2"/>
      <c r="J42" s="2"/>
      <c r="K42" s="2"/>
      <c r="L42" s="2"/>
      <c r="M42" s="2"/>
      <c r="N42" s="2"/>
      <c r="O42" s="2"/>
      <c r="P42" s="2"/>
      <c r="Q42" s="2"/>
      <c r="R42" s="2"/>
      <c r="S42" s="2"/>
      <c r="T42" s="2"/>
      <c r="U42" s="2"/>
      <c r="V42" s="2"/>
      <c r="W42" s="2"/>
      <c r="X42" s="2"/>
      <c r="Y42" s="2"/>
      <c r="Z42" s="2"/>
    </row>
    <row r="43" spans="1:26" x14ac:dyDescent="0.2">
      <c r="A43" s="1" t="s">
        <v>103</v>
      </c>
      <c r="B43" s="2"/>
      <c r="C43" s="3" t="s">
        <v>104</v>
      </c>
      <c r="D43" s="3" t="s">
        <v>9</v>
      </c>
      <c r="E43" s="3" t="s">
        <v>9</v>
      </c>
      <c r="F43" s="2"/>
      <c r="G43" s="3" t="s">
        <v>18</v>
      </c>
      <c r="H43" s="2"/>
      <c r="I43" s="2"/>
      <c r="J43" s="2"/>
      <c r="K43" s="2"/>
      <c r="L43" s="2"/>
      <c r="M43" s="2"/>
      <c r="N43" s="2"/>
      <c r="O43" s="2"/>
      <c r="P43" s="2"/>
      <c r="Q43" s="2"/>
      <c r="R43" s="2"/>
      <c r="S43" s="2"/>
      <c r="T43" s="2"/>
      <c r="U43" s="2"/>
      <c r="V43" s="2"/>
      <c r="W43" s="2"/>
      <c r="X43" s="2"/>
      <c r="Y43" s="2"/>
      <c r="Z43" s="2"/>
    </row>
    <row r="44" spans="1:26" x14ac:dyDescent="0.2">
      <c r="A44" s="3" t="s">
        <v>105</v>
      </c>
      <c r="B44" s="3" t="s">
        <v>106</v>
      </c>
      <c r="C44" s="3" t="s">
        <v>107</v>
      </c>
      <c r="D44" s="3" t="s">
        <v>108</v>
      </c>
      <c r="E44" s="3" t="s">
        <v>316</v>
      </c>
      <c r="F44" s="2"/>
      <c r="G44" s="3" t="s">
        <v>324</v>
      </c>
      <c r="H44" s="17">
        <v>3</v>
      </c>
      <c r="I44" s="2"/>
      <c r="J44" s="2"/>
      <c r="K44" s="2"/>
      <c r="L44" s="2"/>
      <c r="M44" s="2"/>
      <c r="N44" s="2"/>
      <c r="O44" s="2"/>
      <c r="P44" s="2"/>
      <c r="Q44" s="2"/>
      <c r="R44" s="2"/>
      <c r="S44" s="2"/>
      <c r="T44" s="2"/>
      <c r="U44" s="2"/>
      <c r="V44" s="2"/>
      <c r="W44" s="2"/>
      <c r="X44" s="2"/>
      <c r="Y44" s="2"/>
      <c r="Z44" s="2"/>
    </row>
    <row r="45" spans="1:26" x14ac:dyDescent="0.2">
      <c r="A45" s="3" t="s">
        <v>110</v>
      </c>
      <c r="B45" s="3" t="s">
        <v>106</v>
      </c>
      <c r="C45" s="3" t="s">
        <v>111</v>
      </c>
      <c r="D45" s="3" t="s">
        <v>108</v>
      </c>
      <c r="E45" s="3" t="s">
        <v>112</v>
      </c>
      <c r="F45" s="2"/>
      <c r="G45" s="3" t="s">
        <v>324</v>
      </c>
      <c r="H45" s="17">
        <v>3</v>
      </c>
      <c r="I45" s="2"/>
      <c r="J45" s="2"/>
      <c r="K45" s="2"/>
      <c r="L45" s="2"/>
      <c r="M45" s="2"/>
      <c r="N45" s="2"/>
      <c r="O45" s="2"/>
      <c r="P45" s="2"/>
      <c r="Q45" s="2"/>
      <c r="R45" s="2"/>
      <c r="S45" s="2"/>
      <c r="T45" s="2"/>
      <c r="U45" s="2"/>
      <c r="V45" s="2"/>
      <c r="W45" s="2"/>
      <c r="X45" s="2"/>
      <c r="Y45" s="2"/>
      <c r="Z45" s="2"/>
    </row>
    <row r="46" spans="1:26" x14ac:dyDescent="0.2">
      <c r="A46" s="3" t="s">
        <v>113</v>
      </c>
      <c r="B46" s="3" t="s">
        <v>106</v>
      </c>
      <c r="C46" s="3" t="s">
        <v>114</v>
      </c>
      <c r="D46" s="3" t="s">
        <v>108</v>
      </c>
      <c r="E46" s="3" t="s">
        <v>115</v>
      </c>
      <c r="F46" s="2"/>
      <c r="G46" s="3" t="s">
        <v>324</v>
      </c>
      <c r="H46" s="17">
        <v>2</v>
      </c>
      <c r="I46" s="2"/>
      <c r="J46" s="2"/>
      <c r="K46" s="2"/>
      <c r="L46" s="2"/>
      <c r="M46" s="2"/>
      <c r="N46" s="2"/>
      <c r="O46" s="2"/>
      <c r="P46" s="2"/>
      <c r="Q46" s="2"/>
      <c r="R46" s="2"/>
      <c r="S46" s="2"/>
      <c r="T46" s="2"/>
      <c r="U46" s="2"/>
      <c r="V46" s="2"/>
      <c r="W46" s="2"/>
      <c r="X46" s="2"/>
      <c r="Y46" s="2"/>
      <c r="Z46" s="2"/>
    </row>
    <row r="47" spans="1:26" x14ac:dyDescent="0.2">
      <c r="A47" s="3" t="s">
        <v>344</v>
      </c>
      <c r="B47" s="17" t="s">
        <v>245</v>
      </c>
      <c r="C47" s="3" t="s">
        <v>287</v>
      </c>
      <c r="D47" s="17" t="s">
        <v>246</v>
      </c>
      <c r="E47" s="3" t="s">
        <v>316</v>
      </c>
      <c r="F47" s="25" t="s">
        <v>317</v>
      </c>
      <c r="G47" s="3" t="s">
        <v>324</v>
      </c>
      <c r="H47" s="17">
        <v>3</v>
      </c>
      <c r="I47" s="2"/>
      <c r="J47" s="2"/>
      <c r="K47" s="2"/>
      <c r="L47" s="2"/>
      <c r="M47" s="2"/>
      <c r="N47" s="2"/>
      <c r="O47" s="2"/>
      <c r="P47" s="2"/>
      <c r="Q47" s="2"/>
      <c r="R47" s="2"/>
      <c r="S47" s="2"/>
      <c r="T47" s="2"/>
      <c r="U47" s="2"/>
      <c r="V47" s="2"/>
      <c r="W47" s="2"/>
      <c r="X47" s="2"/>
      <c r="Y47" s="2"/>
      <c r="Z47" s="2"/>
    </row>
    <row r="48" spans="1:26" x14ac:dyDescent="0.2">
      <c r="A48" s="3" t="s">
        <v>345</v>
      </c>
      <c r="B48" s="17" t="s">
        <v>310</v>
      </c>
      <c r="C48" s="17" t="s">
        <v>311</v>
      </c>
      <c r="D48" s="17" t="s">
        <v>312</v>
      </c>
      <c r="E48" s="17" t="s">
        <v>76</v>
      </c>
      <c r="F48" s="25" t="s">
        <v>315</v>
      </c>
      <c r="G48" s="3" t="s">
        <v>324</v>
      </c>
      <c r="H48" s="17">
        <v>3</v>
      </c>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1" t="s">
        <v>65</v>
      </c>
      <c r="B50" s="2"/>
      <c r="C50" s="3" t="s">
        <v>66</v>
      </c>
      <c r="D50" s="3" t="s">
        <v>9</v>
      </c>
      <c r="E50" s="3" t="s">
        <v>9</v>
      </c>
      <c r="F50" s="2"/>
      <c r="G50" s="3" t="s">
        <v>18</v>
      </c>
      <c r="H50" s="2"/>
      <c r="I50" s="2"/>
      <c r="J50" s="2"/>
      <c r="K50" s="2"/>
      <c r="L50" s="2"/>
      <c r="M50" s="2"/>
      <c r="N50" s="2"/>
      <c r="O50" s="2"/>
      <c r="P50" s="2"/>
      <c r="Q50" s="2"/>
      <c r="R50" s="2"/>
      <c r="S50" s="2"/>
      <c r="T50" s="2"/>
      <c r="U50" s="2"/>
      <c r="V50" s="2"/>
      <c r="W50" s="2"/>
      <c r="X50" s="2"/>
      <c r="Y50" s="2"/>
      <c r="Z50" s="2"/>
    </row>
    <row r="51" spans="1:26" x14ac:dyDescent="0.2">
      <c r="A51" s="3" t="s">
        <v>67</v>
      </c>
      <c r="B51" s="3" t="s">
        <v>68</v>
      </c>
      <c r="C51" s="3" t="s">
        <v>69</v>
      </c>
      <c r="D51" s="3">
        <v>2017</v>
      </c>
      <c r="E51" s="3" t="s">
        <v>70</v>
      </c>
      <c r="F51" s="24" t="s">
        <v>71</v>
      </c>
      <c r="G51" s="3" t="s">
        <v>324</v>
      </c>
      <c r="H51" s="17">
        <v>3</v>
      </c>
      <c r="I51" s="2"/>
      <c r="J51" s="2"/>
      <c r="K51" s="2"/>
      <c r="L51" s="2"/>
      <c r="M51" s="2"/>
      <c r="N51" s="2"/>
      <c r="O51" s="2"/>
      <c r="P51" s="2"/>
      <c r="Q51" s="2"/>
      <c r="R51" s="2"/>
      <c r="S51" s="2"/>
      <c r="T51" s="2"/>
      <c r="U51" s="2"/>
      <c r="V51" s="2"/>
      <c r="W51" s="2"/>
      <c r="X51" s="2"/>
      <c r="Y51" s="2"/>
      <c r="Z51" s="2"/>
    </row>
    <row r="52" spans="1:26" x14ac:dyDescent="0.2">
      <c r="A52" s="3" t="s">
        <v>72</v>
      </c>
      <c r="B52" s="3" t="s">
        <v>73</v>
      </c>
      <c r="C52" s="3" t="s">
        <v>74</v>
      </c>
      <c r="D52" s="3" t="s">
        <v>75</v>
      </c>
      <c r="E52" s="3" t="s">
        <v>76</v>
      </c>
      <c r="F52" s="24" t="s">
        <v>77</v>
      </c>
      <c r="G52" s="3" t="s">
        <v>324</v>
      </c>
      <c r="H52" s="17">
        <v>4</v>
      </c>
      <c r="I52" s="2"/>
      <c r="J52" s="2"/>
      <c r="K52" s="2"/>
      <c r="L52" s="2"/>
      <c r="M52" s="2"/>
      <c r="N52" s="2"/>
      <c r="O52" s="2"/>
      <c r="P52" s="2"/>
      <c r="Q52" s="2"/>
      <c r="R52" s="2"/>
      <c r="S52" s="2"/>
      <c r="T52" s="2"/>
      <c r="U52" s="2"/>
      <c r="V52" s="2"/>
      <c r="W52" s="2"/>
      <c r="X52" s="2"/>
      <c r="Y52" s="2"/>
      <c r="Z52" s="2"/>
    </row>
    <row r="53" spans="1:26" x14ac:dyDescent="0.2">
      <c r="A53" s="3" t="s">
        <v>78</v>
      </c>
      <c r="B53" s="3" t="s">
        <v>79</v>
      </c>
      <c r="C53" s="3" t="s">
        <v>80</v>
      </c>
      <c r="D53" s="3" t="s">
        <v>81</v>
      </c>
      <c r="E53" s="3" t="s">
        <v>76</v>
      </c>
      <c r="F53" s="24" t="s">
        <v>82</v>
      </c>
      <c r="G53" s="3" t="s">
        <v>324</v>
      </c>
      <c r="H53" s="17">
        <v>4</v>
      </c>
      <c r="I53" s="2"/>
      <c r="J53" s="2"/>
      <c r="K53" s="2"/>
      <c r="L53" s="2"/>
      <c r="M53" s="2"/>
      <c r="N53" s="2"/>
      <c r="O53" s="2"/>
      <c r="P53" s="2"/>
      <c r="Q53" s="2"/>
      <c r="R53" s="2"/>
      <c r="S53" s="2"/>
      <c r="T53" s="2"/>
      <c r="U53" s="2"/>
      <c r="V53" s="2"/>
      <c r="W53" s="2"/>
      <c r="X53" s="2"/>
      <c r="Y53" s="2"/>
      <c r="Z53" s="2"/>
    </row>
    <row r="54" spans="1:26" x14ac:dyDescent="0.2">
      <c r="A54" s="3" t="s">
        <v>83</v>
      </c>
      <c r="B54" s="3" t="s">
        <v>84</v>
      </c>
      <c r="C54" s="3" t="s">
        <v>85</v>
      </c>
      <c r="D54" s="3" t="s">
        <v>86</v>
      </c>
      <c r="E54" s="3" t="s">
        <v>76</v>
      </c>
      <c r="F54" s="24" t="s">
        <v>87</v>
      </c>
      <c r="G54" s="3" t="s">
        <v>324</v>
      </c>
      <c r="H54" s="17">
        <v>5</v>
      </c>
      <c r="I54" s="2"/>
      <c r="J54" s="2"/>
      <c r="K54" s="2"/>
      <c r="L54" s="2"/>
      <c r="M54" s="2"/>
      <c r="N54" s="2"/>
      <c r="O54" s="2"/>
      <c r="P54" s="2"/>
      <c r="Q54" s="2"/>
      <c r="R54" s="2"/>
      <c r="S54" s="2"/>
      <c r="T54" s="2"/>
      <c r="U54" s="2"/>
      <c r="V54" s="2"/>
      <c r="W54" s="2"/>
      <c r="X54" s="2"/>
      <c r="Y54" s="2"/>
      <c r="Z54" s="2"/>
    </row>
    <row r="55" spans="1:26" x14ac:dyDescent="0.2">
      <c r="A55" s="3" t="s">
        <v>88</v>
      </c>
      <c r="B55" s="3" t="s">
        <v>89</v>
      </c>
      <c r="C55" s="3" t="s">
        <v>90</v>
      </c>
      <c r="D55" s="3" t="s">
        <v>81</v>
      </c>
      <c r="E55" s="3" t="s">
        <v>316</v>
      </c>
      <c r="F55" s="3" t="s">
        <v>92</v>
      </c>
      <c r="G55" s="3" t="s">
        <v>324</v>
      </c>
      <c r="H55" s="17">
        <v>4</v>
      </c>
      <c r="I55" s="2"/>
      <c r="J55" s="2"/>
      <c r="K55" s="2"/>
      <c r="L55" s="2"/>
      <c r="M55" s="2"/>
      <c r="N55" s="2"/>
      <c r="O55" s="2"/>
      <c r="P55" s="2"/>
      <c r="Q55" s="2"/>
      <c r="R55" s="2"/>
      <c r="S55" s="2"/>
      <c r="T55" s="2"/>
      <c r="U55" s="2"/>
      <c r="V55" s="2"/>
      <c r="W55" s="2"/>
      <c r="X55" s="2"/>
      <c r="Y55" s="2"/>
      <c r="Z55" s="2"/>
    </row>
    <row r="56" spans="1:26" x14ac:dyDescent="0.2">
      <c r="A56" s="3" t="s">
        <v>93</v>
      </c>
      <c r="B56" s="3" t="s">
        <v>94</v>
      </c>
      <c r="C56" s="3" t="s">
        <v>95</v>
      </c>
      <c r="D56" s="3" t="s">
        <v>96</v>
      </c>
      <c r="E56" s="3" t="s">
        <v>316</v>
      </c>
      <c r="F56" s="24" t="s">
        <v>97</v>
      </c>
      <c r="G56" s="3" t="s">
        <v>324</v>
      </c>
      <c r="H56" s="17">
        <v>4</v>
      </c>
      <c r="I56" s="2"/>
      <c r="J56" s="2"/>
      <c r="K56" s="2"/>
      <c r="L56" s="2"/>
      <c r="M56" s="2"/>
      <c r="N56" s="2"/>
      <c r="O56" s="2"/>
      <c r="P56" s="2"/>
      <c r="Q56" s="2"/>
      <c r="R56" s="2"/>
      <c r="S56" s="2"/>
      <c r="T56" s="2"/>
      <c r="U56" s="2"/>
      <c r="V56" s="2"/>
      <c r="W56" s="2"/>
      <c r="X56" s="2"/>
      <c r="Y56" s="2"/>
      <c r="Z56" s="2"/>
    </row>
    <row r="57" spans="1:26" x14ac:dyDescent="0.2">
      <c r="A57" s="3" t="s">
        <v>98</v>
      </c>
      <c r="B57" s="3" t="s">
        <v>99</v>
      </c>
      <c r="C57" s="3" t="s">
        <v>100</v>
      </c>
      <c r="D57" s="3" t="s">
        <v>101</v>
      </c>
      <c r="E57" s="3" t="s">
        <v>25</v>
      </c>
      <c r="F57" s="3" t="s">
        <v>330</v>
      </c>
      <c r="G57" s="3" t="s">
        <v>324</v>
      </c>
      <c r="H57" s="17">
        <v>4</v>
      </c>
      <c r="I57" s="2"/>
      <c r="J57" s="2"/>
      <c r="K57" s="2"/>
      <c r="L57" s="2"/>
      <c r="M57" s="2"/>
      <c r="N57" s="2"/>
      <c r="O57" s="2"/>
      <c r="P57" s="2"/>
      <c r="Q57" s="2"/>
      <c r="R57" s="2"/>
      <c r="S57" s="2"/>
      <c r="T57" s="2"/>
      <c r="U57" s="2"/>
      <c r="V57" s="2"/>
      <c r="W57" s="2"/>
      <c r="X57" s="2"/>
      <c r="Y57" s="2"/>
      <c r="Z57" s="2"/>
    </row>
    <row r="58" spans="1:26" x14ac:dyDescent="0.2">
      <c r="A58" s="3" t="s">
        <v>346</v>
      </c>
      <c r="B58" s="3" t="s">
        <v>219</v>
      </c>
      <c r="C58" s="3" t="s">
        <v>347</v>
      </c>
      <c r="D58" s="3" t="s">
        <v>301</v>
      </c>
      <c r="E58" s="3" t="s">
        <v>76</v>
      </c>
      <c r="F58" s="25" t="s">
        <v>302</v>
      </c>
      <c r="G58" s="3" t="s">
        <v>324</v>
      </c>
      <c r="H58" s="17">
        <v>5</v>
      </c>
      <c r="I58" s="17" t="s">
        <v>348</v>
      </c>
      <c r="J58" s="2"/>
      <c r="K58" s="2"/>
      <c r="L58" s="2"/>
      <c r="M58" s="2"/>
      <c r="N58" s="2"/>
      <c r="O58" s="2"/>
      <c r="P58" s="2"/>
      <c r="Q58" s="2"/>
      <c r="R58" s="2"/>
      <c r="S58" s="2"/>
      <c r="T58" s="2"/>
      <c r="U58" s="2"/>
      <c r="V58" s="2"/>
      <c r="W58" s="2"/>
      <c r="X58" s="2"/>
      <c r="Y58" s="2"/>
      <c r="Z58" s="2"/>
    </row>
    <row r="59" spans="1:26" x14ac:dyDescent="0.2">
      <c r="A59" s="3" t="s">
        <v>349</v>
      </c>
      <c r="B59" s="3" t="s">
        <v>303</v>
      </c>
      <c r="C59" s="3" t="s">
        <v>286</v>
      </c>
      <c r="D59" s="3" t="s">
        <v>236</v>
      </c>
      <c r="E59" s="3" t="s">
        <v>316</v>
      </c>
      <c r="F59" s="24" t="s">
        <v>251</v>
      </c>
      <c r="G59" s="3" t="s">
        <v>324</v>
      </c>
      <c r="H59" s="17">
        <v>3</v>
      </c>
      <c r="I59" s="2"/>
      <c r="J59" s="2"/>
      <c r="K59" s="2"/>
      <c r="L59" s="2"/>
      <c r="M59" s="2"/>
      <c r="N59" s="2"/>
      <c r="O59" s="2"/>
      <c r="P59" s="2"/>
      <c r="Q59" s="2"/>
      <c r="R59" s="2"/>
      <c r="S59" s="2"/>
      <c r="T59" s="2"/>
      <c r="U59" s="2"/>
      <c r="V59" s="2"/>
      <c r="W59" s="2"/>
      <c r="X59" s="2"/>
      <c r="Y59" s="2"/>
      <c r="Z59" s="2"/>
    </row>
    <row r="60" spans="1:26" x14ac:dyDescent="0.2">
      <c r="A60" s="3" t="s">
        <v>350</v>
      </c>
      <c r="B60" s="3" t="s">
        <v>303</v>
      </c>
      <c r="C60" s="3" t="s">
        <v>288</v>
      </c>
      <c r="D60" s="3" t="s">
        <v>236</v>
      </c>
      <c r="E60" s="3" t="s">
        <v>316</v>
      </c>
      <c r="F60" s="25" t="s">
        <v>251</v>
      </c>
      <c r="G60" s="3" t="s">
        <v>324</v>
      </c>
      <c r="H60" s="17">
        <v>4</v>
      </c>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3" t="s">
        <v>324</v>
      </c>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7F422-8B7E-AA47-9008-FF75914C5ADF}">
  <dimension ref="A1:Z1009"/>
  <sheetViews>
    <sheetView workbookViewId="0">
      <selection activeCell="L20" sqref="L20"/>
    </sheetView>
  </sheetViews>
  <sheetFormatPr baseColWidth="10" defaultRowHeight="16" x14ac:dyDescent="0.2"/>
  <sheetData>
    <row r="1" spans="1:26" x14ac:dyDescent="0.2">
      <c r="A1" s="1" t="s">
        <v>322</v>
      </c>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1" t="s">
        <v>0</v>
      </c>
      <c r="B4" s="1" t="s">
        <v>1</v>
      </c>
      <c r="C4" s="1" t="s">
        <v>2</v>
      </c>
      <c r="D4" s="1" t="s">
        <v>3</v>
      </c>
      <c r="E4" s="1" t="s">
        <v>4</v>
      </c>
      <c r="F4" s="1" t="s">
        <v>5</v>
      </c>
      <c r="G4" s="1" t="s">
        <v>323</v>
      </c>
      <c r="H4" s="2"/>
      <c r="I4" s="2"/>
      <c r="J4" s="2"/>
      <c r="K4" s="2"/>
      <c r="L4" s="2"/>
      <c r="M4" s="2"/>
      <c r="N4" s="2"/>
      <c r="O4" s="2"/>
      <c r="P4" s="2"/>
      <c r="Q4" s="2"/>
      <c r="R4" s="2"/>
      <c r="S4" s="2"/>
      <c r="T4" s="2"/>
      <c r="U4" s="2"/>
      <c r="V4" s="2"/>
      <c r="W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1" t="s">
        <v>7</v>
      </c>
      <c r="B6" s="2"/>
      <c r="C6" s="1" t="s">
        <v>8</v>
      </c>
      <c r="D6" s="3" t="s">
        <v>9</v>
      </c>
      <c r="E6" s="3" t="s">
        <v>9</v>
      </c>
      <c r="F6" s="2"/>
      <c r="G6" s="3" t="s">
        <v>18</v>
      </c>
      <c r="H6" s="2"/>
      <c r="I6" s="2"/>
      <c r="J6" s="2"/>
      <c r="K6" s="2"/>
      <c r="L6" s="2"/>
      <c r="M6" s="2"/>
      <c r="N6" s="2"/>
      <c r="O6" s="2"/>
      <c r="P6" s="2"/>
      <c r="Q6" s="2"/>
      <c r="R6" s="2"/>
      <c r="S6" s="2"/>
      <c r="T6" s="2"/>
      <c r="U6" s="2"/>
      <c r="V6" s="2"/>
      <c r="W6" s="2"/>
      <c r="X6" s="2"/>
      <c r="Y6" s="2"/>
      <c r="Z6" s="2"/>
    </row>
    <row r="7" spans="1:26" x14ac:dyDescent="0.2">
      <c r="A7" s="1" t="s">
        <v>10</v>
      </c>
      <c r="B7" s="2"/>
      <c r="C7" s="3" t="s">
        <v>11</v>
      </c>
      <c r="D7" s="3" t="s">
        <v>9</v>
      </c>
      <c r="E7" s="3" t="s">
        <v>9</v>
      </c>
      <c r="F7" s="2"/>
      <c r="G7" s="3" t="s">
        <v>18</v>
      </c>
      <c r="H7" s="2"/>
      <c r="I7" s="2"/>
      <c r="J7" s="2"/>
      <c r="K7" s="2"/>
      <c r="L7" s="2"/>
      <c r="M7" s="2"/>
      <c r="N7" s="2"/>
      <c r="O7" s="2"/>
      <c r="P7" s="2"/>
      <c r="Q7" s="2"/>
      <c r="R7" s="2"/>
      <c r="S7" s="2"/>
      <c r="T7" s="2"/>
      <c r="U7" s="2"/>
      <c r="V7" s="2"/>
      <c r="W7" s="2"/>
      <c r="X7" s="2"/>
      <c r="Y7" s="2"/>
      <c r="Z7" s="2"/>
    </row>
    <row r="8" spans="1:26" x14ac:dyDescent="0.2">
      <c r="A8" s="3" t="s">
        <v>12</v>
      </c>
      <c r="B8" s="3" t="s">
        <v>13</v>
      </c>
      <c r="C8" s="3" t="s">
        <v>263</v>
      </c>
      <c r="D8" s="3" t="s">
        <v>15</v>
      </c>
      <c r="E8" s="3" t="s">
        <v>16</v>
      </c>
      <c r="F8" s="24" t="s">
        <v>17</v>
      </c>
      <c r="G8" s="3">
        <v>5</v>
      </c>
      <c r="H8" s="2"/>
      <c r="I8" s="2"/>
      <c r="J8" s="2"/>
      <c r="K8" s="2"/>
      <c r="L8" s="2"/>
      <c r="M8" s="2"/>
      <c r="N8" s="2"/>
      <c r="O8" s="2"/>
      <c r="P8" s="2"/>
      <c r="Q8" s="2"/>
      <c r="R8" s="2"/>
      <c r="S8" s="2"/>
      <c r="T8" s="2"/>
      <c r="U8" s="2"/>
      <c r="V8" s="2"/>
      <c r="W8" s="2"/>
      <c r="X8" s="2"/>
      <c r="Y8" s="2"/>
      <c r="Z8" s="2"/>
    </row>
    <row r="9" spans="1:26" x14ac:dyDescent="0.2">
      <c r="A9" s="3" t="s">
        <v>19</v>
      </c>
      <c r="B9" s="3" t="s">
        <v>13</v>
      </c>
      <c r="C9" s="3" t="s">
        <v>264</v>
      </c>
      <c r="D9" s="3" t="s">
        <v>15</v>
      </c>
      <c r="E9" s="3" t="s">
        <v>16</v>
      </c>
      <c r="F9" s="24" t="s">
        <v>17</v>
      </c>
      <c r="G9" s="3">
        <v>3</v>
      </c>
      <c r="H9" s="2"/>
      <c r="I9" s="2"/>
      <c r="J9" s="2"/>
      <c r="K9" s="2"/>
      <c r="L9" s="2"/>
      <c r="M9" s="2"/>
      <c r="N9" s="2"/>
      <c r="O9" s="2"/>
      <c r="P9" s="2"/>
      <c r="Q9" s="2"/>
      <c r="R9" s="2"/>
      <c r="S9" s="2"/>
      <c r="T9" s="2"/>
      <c r="U9" s="2"/>
      <c r="V9" s="2"/>
      <c r="W9" s="2"/>
      <c r="X9" s="2"/>
      <c r="Y9" s="2"/>
      <c r="Z9" s="2"/>
    </row>
    <row r="10" spans="1:26" x14ac:dyDescent="0.2">
      <c r="A10" s="3" t="s">
        <v>21</v>
      </c>
      <c r="B10" s="3" t="s">
        <v>22</v>
      </c>
      <c r="C10" s="3" t="s">
        <v>262</v>
      </c>
      <c r="D10" s="3" t="s">
        <v>24</v>
      </c>
      <c r="E10" s="3" t="s">
        <v>25</v>
      </c>
      <c r="F10" s="24" t="s">
        <v>26</v>
      </c>
      <c r="G10" s="3">
        <v>4</v>
      </c>
      <c r="H10" s="2"/>
      <c r="I10" s="2"/>
      <c r="J10" s="2"/>
      <c r="K10" s="2"/>
      <c r="L10" s="2"/>
      <c r="M10" s="2"/>
      <c r="N10" s="2"/>
      <c r="O10" s="2"/>
      <c r="P10" s="2"/>
      <c r="Q10" s="2"/>
      <c r="R10" s="2"/>
      <c r="S10" s="2"/>
      <c r="T10" s="2"/>
      <c r="U10" s="2"/>
      <c r="V10" s="2"/>
      <c r="W10" s="2"/>
      <c r="X10" s="2"/>
      <c r="Y10" s="2"/>
      <c r="Z10" s="2"/>
    </row>
    <row r="11" spans="1:26" x14ac:dyDescent="0.2">
      <c r="A11" s="3" t="s">
        <v>33</v>
      </c>
      <c r="B11" s="3" t="s">
        <v>28</v>
      </c>
      <c r="C11" s="3" t="s">
        <v>34</v>
      </c>
      <c r="D11" s="3" t="s">
        <v>30</v>
      </c>
      <c r="E11" s="3" t="s">
        <v>31</v>
      </c>
      <c r="F11" s="3" t="s">
        <v>325</v>
      </c>
      <c r="G11" s="3">
        <v>5</v>
      </c>
      <c r="H11" s="2"/>
      <c r="I11" s="2"/>
      <c r="J11" s="2"/>
      <c r="K11" s="2"/>
      <c r="L11" s="2"/>
      <c r="M11" s="2"/>
      <c r="N11" s="2"/>
      <c r="O11" s="2"/>
      <c r="P11" s="2"/>
      <c r="Q11" s="2"/>
      <c r="R11" s="2"/>
      <c r="S11" s="2"/>
      <c r="T11" s="2"/>
      <c r="U11" s="2"/>
      <c r="V11" s="2"/>
      <c r="W11" s="2"/>
      <c r="X11" s="2"/>
      <c r="Y11" s="2"/>
      <c r="Z11" s="2"/>
    </row>
    <row r="12" spans="1:26" x14ac:dyDescent="0.2">
      <c r="A12" s="3" t="s">
        <v>326</v>
      </c>
      <c r="B12" s="3" t="s">
        <v>13</v>
      </c>
      <c r="C12" s="3" t="s">
        <v>281</v>
      </c>
      <c r="D12" s="3" t="s">
        <v>15</v>
      </c>
      <c r="E12" s="3" t="s">
        <v>16</v>
      </c>
      <c r="F12" s="24" t="s">
        <v>17</v>
      </c>
      <c r="G12" s="3">
        <v>4</v>
      </c>
      <c r="H12" s="2"/>
      <c r="I12" s="2"/>
      <c r="J12" s="2"/>
      <c r="K12" s="2"/>
      <c r="L12" s="2"/>
      <c r="M12" s="2"/>
      <c r="N12" s="2"/>
      <c r="O12" s="2"/>
      <c r="P12" s="2"/>
      <c r="Q12" s="2"/>
      <c r="R12" s="2"/>
      <c r="S12" s="2"/>
      <c r="T12" s="2"/>
      <c r="U12" s="2"/>
      <c r="V12" s="2"/>
      <c r="W12" s="2"/>
      <c r="X12" s="2"/>
      <c r="Y12" s="2"/>
      <c r="Z12" s="2"/>
    </row>
    <row r="13" spans="1:26" x14ac:dyDescent="0.2">
      <c r="A13" s="3" t="s">
        <v>327</v>
      </c>
      <c r="B13" s="3" t="s">
        <v>314</v>
      </c>
      <c r="C13" s="3" t="s">
        <v>261</v>
      </c>
      <c r="D13" s="3" t="s">
        <v>314</v>
      </c>
      <c r="E13" s="3" t="s">
        <v>314</v>
      </c>
      <c r="F13" s="3" t="s">
        <v>314</v>
      </c>
      <c r="G13" s="3">
        <v>4</v>
      </c>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1" t="s">
        <v>36</v>
      </c>
      <c r="B15" s="2"/>
      <c r="C15" s="3" t="s">
        <v>37</v>
      </c>
      <c r="D15" s="3" t="s">
        <v>9</v>
      </c>
      <c r="E15" s="3" t="s">
        <v>9</v>
      </c>
      <c r="F15" s="2"/>
      <c r="G15" s="3" t="s">
        <v>18</v>
      </c>
      <c r="H15" s="2"/>
      <c r="I15" s="2"/>
      <c r="J15" s="2"/>
      <c r="K15" s="2"/>
      <c r="L15" s="2"/>
      <c r="M15" s="2"/>
      <c r="N15" s="2"/>
      <c r="O15" s="2"/>
      <c r="P15" s="2"/>
      <c r="Q15" s="2"/>
      <c r="R15" s="2"/>
      <c r="S15" s="2"/>
      <c r="T15" s="2"/>
      <c r="U15" s="2"/>
      <c r="V15" s="2"/>
      <c r="W15" s="2"/>
      <c r="X15" s="2"/>
      <c r="Y15" s="2"/>
      <c r="Z15" s="2"/>
    </row>
    <row r="16" spans="1:26" x14ac:dyDescent="0.2">
      <c r="A16" s="3" t="s">
        <v>265</v>
      </c>
      <c r="B16" s="3" t="s">
        <v>39</v>
      </c>
      <c r="C16" s="3" t="s">
        <v>40</v>
      </c>
      <c r="D16" s="3" t="s">
        <v>41</v>
      </c>
      <c r="E16" s="3" t="s">
        <v>42</v>
      </c>
      <c r="F16" s="3" t="s">
        <v>328</v>
      </c>
      <c r="G16" s="3">
        <v>4</v>
      </c>
      <c r="H16" s="2"/>
      <c r="I16" s="2"/>
      <c r="J16" s="2"/>
      <c r="K16" s="2"/>
      <c r="L16" s="2"/>
      <c r="M16" s="2"/>
      <c r="N16" s="2"/>
      <c r="O16" s="2"/>
      <c r="P16" s="2"/>
      <c r="Q16" s="2"/>
      <c r="R16" s="2"/>
      <c r="S16" s="2"/>
      <c r="T16" s="2"/>
      <c r="U16" s="2"/>
      <c r="V16" s="2"/>
      <c r="W16" s="2"/>
      <c r="X16" s="2"/>
      <c r="Y16" s="2"/>
      <c r="Z16" s="2"/>
    </row>
    <row r="17" spans="1:26" x14ac:dyDescent="0.2">
      <c r="A17" s="3" t="s">
        <v>44</v>
      </c>
      <c r="B17" s="3" t="s">
        <v>45</v>
      </c>
      <c r="C17" s="3" t="s">
        <v>46</v>
      </c>
      <c r="D17" s="3" t="s">
        <v>47</v>
      </c>
      <c r="E17" s="3" t="s">
        <v>48</v>
      </c>
      <c r="F17" s="3" t="s">
        <v>329</v>
      </c>
      <c r="G17" s="3">
        <v>5</v>
      </c>
      <c r="H17" s="2"/>
      <c r="I17" s="2"/>
      <c r="J17" s="2"/>
      <c r="K17" s="2"/>
      <c r="L17" s="2"/>
      <c r="M17" s="2"/>
      <c r="N17" s="2"/>
      <c r="O17" s="2"/>
      <c r="P17" s="2"/>
      <c r="Q17" s="2"/>
      <c r="R17" s="2"/>
      <c r="S17" s="2"/>
      <c r="T17" s="2"/>
      <c r="U17" s="2"/>
      <c r="V17" s="2"/>
      <c r="W17" s="2"/>
      <c r="X17" s="2"/>
      <c r="Y17" s="2"/>
      <c r="Z17" s="2"/>
    </row>
    <row r="18" spans="1:26" x14ac:dyDescent="0.2">
      <c r="A18" s="3" t="s">
        <v>50</v>
      </c>
      <c r="B18" s="3" t="s">
        <v>51</v>
      </c>
      <c r="C18" s="3" t="s">
        <v>52</v>
      </c>
      <c r="D18" s="3" t="s">
        <v>53</v>
      </c>
      <c r="E18" s="3" t="s">
        <v>48</v>
      </c>
      <c r="F18" s="3" t="s">
        <v>54</v>
      </c>
      <c r="G18" s="3">
        <v>5</v>
      </c>
      <c r="H18" s="2"/>
      <c r="I18" s="2"/>
      <c r="J18" s="2"/>
      <c r="K18" s="2"/>
      <c r="L18" s="2"/>
      <c r="M18" s="2"/>
      <c r="N18" s="2"/>
      <c r="O18" s="2"/>
      <c r="P18" s="2"/>
      <c r="Q18" s="2"/>
      <c r="R18" s="2"/>
      <c r="S18" s="2"/>
      <c r="T18" s="2"/>
      <c r="U18" s="2"/>
      <c r="V18" s="2"/>
      <c r="W18" s="2"/>
      <c r="X18" s="2"/>
      <c r="Y18" s="2"/>
      <c r="Z18" s="2"/>
    </row>
    <row r="19" spans="1:26" x14ac:dyDescent="0.2">
      <c r="A19" s="3" t="s">
        <v>266</v>
      </c>
      <c r="B19" s="3" t="s">
        <v>56</v>
      </c>
      <c r="C19" s="3" t="s">
        <v>57</v>
      </c>
      <c r="D19" s="3" t="s">
        <v>58</v>
      </c>
      <c r="E19" s="3" t="s">
        <v>59</v>
      </c>
      <c r="F19" s="3" t="s">
        <v>60</v>
      </c>
      <c r="G19" s="3">
        <v>3</v>
      </c>
      <c r="H19" s="2"/>
      <c r="I19" s="2"/>
      <c r="J19" s="2"/>
      <c r="K19" s="2"/>
      <c r="L19" s="2"/>
      <c r="M19" s="2"/>
      <c r="N19" s="2"/>
      <c r="O19" s="2"/>
      <c r="P19" s="2"/>
      <c r="Q19" s="2"/>
      <c r="R19" s="2"/>
      <c r="S19" s="2"/>
      <c r="T19" s="2"/>
      <c r="U19" s="2"/>
      <c r="V19" s="2"/>
      <c r="W19" s="2"/>
      <c r="X19" s="2"/>
      <c r="Y19" s="2"/>
      <c r="Z19" s="2"/>
    </row>
    <row r="20" spans="1:26" x14ac:dyDescent="0.2">
      <c r="A20" s="3" t="s">
        <v>61</v>
      </c>
      <c r="B20" s="3" t="s">
        <v>51</v>
      </c>
      <c r="C20" s="3" t="s">
        <v>62</v>
      </c>
      <c r="D20" s="3" t="s">
        <v>53</v>
      </c>
      <c r="E20" s="3" t="s">
        <v>48</v>
      </c>
      <c r="F20" s="3" t="s">
        <v>54</v>
      </c>
      <c r="G20" s="3">
        <v>2</v>
      </c>
      <c r="H20" s="2"/>
      <c r="I20" s="2"/>
      <c r="J20" s="2"/>
      <c r="K20" s="2"/>
      <c r="L20" s="2"/>
      <c r="M20" s="2"/>
      <c r="N20" s="2"/>
      <c r="O20" s="2"/>
      <c r="P20" s="2"/>
      <c r="Q20" s="2"/>
      <c r="R20" s="2"/>
      <c r="S20" s="2"/>
      <c r="T20" s="2"/>
      <c r="U20" s="2"/>
      <c r="V20" s="2"/>
      <c r="W20" s="2"/>
      <c r="X20" s="2"/>
      <c r="Y20" s="2"/>
      <c r="Z20" s="2"/>
    </row>
    <row r="21" spans="1:26" x14ac:dyDescent="0.2">
      <c r="A21" s="3" t="s">
        <v>254</v>
      </c>
      <c r="B21" s="3" t="s">
        <v>99</v>
      </c>
      <c r="C21" s="3" t="s">
        <v>129</v>
      </c>
      <c r="D21" s="3" t="s">
        <v>101</v>
      </c>
      <c r="E21" s="3" t="s">
        <v>25</v>
      </c>
      <c r="F21" s="3" t="s">
        <v>330</v>
      </c>
      <c r="G21" s="3">
        <v>4</v>
      </c>
      <c r="H21" s="2"/>
      <c r="I21" s="2"/>
      <c r="J21" s="2"/>
      <c r="K21" s="2"/>
      <c r="L21" s="2"/>
      <c r="M21" s="2"/>
      <c r="N21" s="2"/>
      <c r="O21" s="2"/>
      <c r="P21" s="2"/>
      <c r="Q21" s="2"/>
      <c r="R21" s="2"/>
      <c r="S21" s="2"/>
      <c r="T21" s="2"/>
      <c r="U21" s="2"/>
      <c r="V21" s="2"/>
      <c r="W21" s="2"/>
      <c r="X21" s="2"/>
      <c r="Y21" s="2"/>
      <c r="Z21" s="2"/>
    </row>
    <row r="22" spans="1:26" x14ac:dyDescent="0.2">
      <c r="A22" s="3" t="s">
        <v>130</v>
      </c>
      <c r="B22" s="3" t="s">
        <v>99</v>
      </c>
      <c r="C22" s="3" t="s">
        <v>131</v>
      </c>
      <c r="D22" s="3" t="s">
        <v>101</v>
      </c>
      <c r="E22" s="3" t="s">
        <v>25</v>
      </c>
      <c r="F22" s="3" t="s">
        <v>330</v>
      </c>
      <c r="G22" s="3">
        <v>4</v>
      </c>
      <c r="H22" s="2"/>
      <c r="I22" s="2"/>
      <c r="J22" s="2"/>
      <c r="K22" s="2"/>
      <c r="L22" s="2"/>
      <c r="M22" s="2"/>
      <c r="N22" s="2"/>
      <c r="O22" s="2"/>
      <c r="P22" s="2"/>
      <c r="Q22" s="2"/>
      <c r="R22" s="2"/>
      <c r="S22" s="2"/>
      <c r="T22" s="2"/>
      <c r="U22" s="2"/>
      <c r="V22" s="2"/>
      <c r="W22" s="2"/>
      <c r="X22" s="2"/>
      <c r="Y22" s="2"/>
      <c r="Z22" s="2"/>
    </row>
    <row r="23" spans="1:26" x14ac:dyDescent="0.2">
      <c r="A23" s="3" t="s">
        <v>267</v>
      </c>
      <c r="B23" s="3" t="s">
        <v>28</v>
      </c>
      <c r="C23" s="3" t="s">
        <v>29</v>
      </c>
      <c r="D23" s="3" t="s">
        <v>30</v>
      </c>
      <c r="E23" s="3" t="s">
        <v>31</v>
      </c>
      <c r="F23" s="3" t="s">
        <v>325</v>
      </c>
      <c r="G23" s="3">
        <v>4</v>
      </c>
      <c r="H23" s="2"/>
      <c r="I23" s="2"/>
      <c r="J23" s="2"/>
      <c r="K23" s="2"/>
      <c r="L23" s="2"/>
      <c r="M23" s="2"/>
      <c r="N23" s="2"/>
      <c r="O23" s="2"/>
      <c r="P23" s="2"/>
      <c r="Q23" s="2"/>
      <c r="R23" s="2"/>
      <c r="S23" s="2"/>
      <c r="T23" s="2"/>
      <c r="U23" s="2"/>
      <c r="V23" s="2"/>
      <c r="W23" s="2"/>
      <c r="X23" s="2"/>
      <c r="Y23" s="2"/>
      <c r="Z23" s="2"/>
    </row>
    <row r="24" spans="1:26" x14ac:dyDescent="0.2">
      <c r="A24" s="3" t="s">
        <v>332</v>
      </c>
      <c r="B24" s="3" t="s">
        <v>51</v>
      </c>
      <c r="C24" s="3" t="s">
        <v>272</v>
      </c>
      <c r="D24" s="3" t="s">
        <v>53</v>
      </c>
      <c r="E24" s="3" t="s">
        <v>48</v>
      </c>
      <c r="F24" s="3" t="s">
        <v>54</v>
      </c>
      <c r="G24" s="3">
        <v>2</v>
      </c>
      <c r="H24" s="2"/>
      <c r="I24" s="2"/>
      <c r="J24" s="2"/>
      <c r="K24" s="2"/>
      <c r="L24" s="2"/>
      <c r="M24" s="2"/>
      <c r="N24" s="2"/>
      <c r="O24" s="2"/>
      <c r="P24" s="2"/>
      <c r="Q24" s="2"/>
      <c r="R24" s="2"/>
      <c r="S24" s="2"/>
      <c r="T24" s="2"/>
      <c r="U24" s="2"/>
      <c r="V24" s="2"/>
      <c r="W24" s="2"/>
      <c r="X24" s="2"/>
      <c r="Y24" s="2"/>
      <c r="Z24" s="2"/>
    </row>
    <row r="25" spans="1:26" x14ac:dyDescent="0.2">
      <c r="A25" s="3" t="s">
        <v>334</v>
      </c>
      <c r="B25" s="3" t="s">
        <v>335</v>
      </c>
      <c r="C25" s="3" t="s">
        <v>289</v>
      </c>
      <c r="D25" s="3" t="s">
        <v>270</v>
      </c>
      <c r="E25" s="3" t="s">
        <v>31</v>
      </c>
      <c r="F25" s="24" t="s">
        <v>271</v>
      </c>
      <c r="G25" s="3">
        <v>2</v>
      </c>
      <c r="H25" s="2"/>
      <c r="I25" s="2"/>
      <c r="J25" s="2"/>
      <c r="K25" s="2"/>
      <c r="L25" s="2"/>
      <c r="M25" s="2"/>
      <c r="N25" s="2"/>
      <c r="O25" s="2"/>
      <c r="P25" s="2"/>
      <c r="Q25" s="2"/>
      <c r="R25" s="2"/>
      <c r="S25" s="2"/>
      <c r="T25" s="2"/>
      <c r="U25" s="2"/>
      <c r="V25" s="2"/>
      <c r="W25" s="2"/>
      <c r="X25" s="2"/>
      <c r="Y25" s="2"/>
      <c r="Z25" s="2"/>
    </row>
    <row r="26" spans="1:26" x14ac:dyDescent="0.2">
      <c r="A26" s="3" t="s">
        <v>336</v>
      </c>
      <c r="B26" s="3" t="s">
        <v>51</v>
      </c>
      <c r="C26" s="3" t="s">
        <v>290</v>
      </c>
      <c r="D26" s="3" t="s">
        <v>53</v>
      </c>
      <c r="E26" s="3" t="s">
        <v>48</v>
      </c>
      <c r="F26" s="3" t="s">
        <v>54</v>
      </c>
      <c r="G26" s="3">
        <v>4</v>
      </c>
      <c r="H26" s="2"/>
      <c r="I26" s="2"/>
      <c r="J26" s="2"/>
      <c r="K26" s="2"/>
      <c r="L26" s="2"/>
      <c r="M26" s="2"/>
      <c r="N26" s="2"/>
      <c r="O26" s="2"/>
      <c r="P26" s="2"/>
      <c r="Q26" s="2"/>
      <c r="R26" s="2"/>
      <c r="S26" s="2"/>
      <c r="T26" s="2"/>
      <c r="U26" s="2"/>
      <c r="V26" s="2"/>
      <c r="W26" s="2"/>
      <c r="X26" s="2"/>
      <c r="Y26" s="2"/>
      <c r="Z26" s="2"/>
    </row>
    <row r="27" spans="1:26" x14ac:dyDescent="0.2">
      <c r="A27" s="3" t="s">
        <v>337</v>
      </c>
      <c r="B27" s="3" t="s">
        <v>51</v>
      </c>
      <c r="C27" s="3" t="s">
        <v>292</v>
      </c>
      <c r="D27" s="3" t="s">
        <v>53</v>
      </c>
      <c r="E27" s="3" t="s">
        <v>48</v>
      </c>
      <c r="F27" s="3" t="s">
        <v>54</v>
      </c>
      <c r="G27" s="3">
        <v>3</v>
      </c>
      <c r="H27" s="2"/>
      <c r="I27" s="2"/>
      <c r="J27" s="2"/>
      <c r="K27" s="2"/>
      <c r="L27" s="2"/>
      <c r="M27" s="2"/>
      <c r="N27" s="2"/>
      <c r="O27" s="2"/>
      <c r="P27" s="2"/>
      <c r="Q27" s="2"/>
      <c r="R27" s="2"/>
      <c r="S27" s="2"/>
      <c r="T27" s="2"/>
      <c r="U27" s="2"/>
      <c r="V27" s="2"/>
      <c r="W27" s="2"/>
      <c r="X27" s="2"/>
      <c r="Y27" s="2"/>
      <c r="Z27" s="2"/>
    </row>
    <row r="28" spans="1:26" x14ac:dyDescent="0.2">
      <c r="A28" s="3" t="s">
        <v>338</v>
      </c>
      <c r="B28" s="3" t="s">
        <v>51</v>
      </c>
      <c r="C28" s="3" t="s">
        <v>291</v>
      </c>
      <c r="D28" s="3" t="s">
        <v>53</v>
      </c>
      <c r="E28" s="3" t="s">
        <v>48</v>
      </c>
      <c r="F28" s="3" t="s">
        <v>54</v>
      </c>
      <c r="G28" s="3">
        <v>2</v>
      </c>
      <c r="H28" s="2"/>
      <c r="I28" s="2"/>
      <c r="J28" s="2"/>
      <c r="K28" s="2"/>
      <c r="L28" s="2"/>
      <c r="M28" s="2"/>
      <c r="N28" s="2"/>
      <c r="O28" s="2"/>
      <c r="P28" s="2"/>
      <c r="Q28" s="2"/>
      <c r="R28" s="2"/>
      <c r="S28" s="2"/>
      <c r="T28" s="2"/>
      <c r="U28" s="2"/>
      <c r="V28" s="2"/>
      <c r="W28" s="2"/>
      <c r="X28" s="2"/>
      <c r="Y28" s="2"/>
      <c r="Z28" s="2"/>
    </row>
    <row r="29" spans="1:26" x14ac:dyDescent="0.2">
      <c r="A29" s="3" t="s">
        <v>268</v>
      </c>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1" t="s">
        <v>139</v>
      </c>
      <c r="B31" s="2"/>
      <c r="C31" s="3" t="s">
        <v>116</v>
      </c>
      <c r="D31" s="3" t="s">
        <v>9</v>
      </c>
      <c r="E31" s="3" t="s">
        <v>9</v>
      </c>
      <c r="F31" s="2"/>
      <c r="G31" s="3" t="s">
        <v>18</v>
      </c>
      <c r="H31" s="2"/>
      <c r="I31" s="2"/>
      <c r="J31" s="2"/>
      <c r="K31" s="2"/>
      <c r="L31" s="2"/>
      <c r="M31" s="2"/>
      <c r="N31" s="2"/>
      <c r="O31" s="2"/>
      <c r="P31" s="2"/>
      <c r="Q31" s="2"/>
      <c r="R31" s="2"/>
      <c r="S31" s="2"/>
      <c r="T31" s="2"/>
      <c r="U31" s="2"/>
      <c r="V31" s="2"/>
      <c r="W31" s="2"/>
      <c r="X31" s="2"/>
      <c r="Y31" s="2"/>
      <c r="Z31" s="2"/>
    </row>
    <row r="32" spans="1:26" x14ac:dyDescent="0.2">
      <c r="A32" s="3" t="s">
        <v>117</v>
      </c>
      <c r="B32" s="3" t="s">
        <v>118</v>
      </c>
      <c r="C32" s="3" t="s">
        <v>119</v>
      </c>
      <c r="D32" s="3" t="s">
        <v>120</v>
      </c>
      <c r="E32" s="3" t="s">
        <v>76</v>
      </c>
      <c r="F32" s="24" t="s">
        <v>121</v>
      </c>
      <c r="G32" s="3">
        <v>3</v>
      </c>
      <c r="H32" s="2"/>
      <c r="I32" s="2"/>
      <c r="J32" s="2"/>
      <c r="K32" s="2"/>
      <c r="L32" s="2"/>
      <c r="M32" s="2"/>
      <c r="N32" s="2"/>
      <c r="O32" s="2"/>
      <c r="P32" s="2"/>
      <c r="Q32" s="2"/>
      <c r="R32" s="2"/>
      <c r="S32" s="2"/>
      <c r="T32" s="2"/>
      <c r="U32" s="2"/>
      <c r="V32" s="2"/>
      <c r="W32" s="2"/>
      <c r="X32" s="2"/>
      <c r="Y32" s="2"/>
      <c r="Z32" s="2"/>
    </row>
    <row r="33" spans="1:26" x14ac:dyDescent="0.2">
      <c r="A33" s="3" t="s">
        <v>122</v>
      </c>
      <c r="B33" s="3" t="s">
        <v>99</v>
      </c>
      <c r="C33" s="3" t="s">
        <v>123</v>
      </c>
      <c r="D33" s="3" t="s">
        <v>101</v>
      </c>
      <c r="E33" s="3" t="s">
        <v>25</v>
      </c>
      <c r="F33" s="25" t="s">
        <v>307</v>
      </c>
      <c r="G33" s="3">
        <v>2</v>
      </c>
      <c r="H33" s="2"/>
      <c r="I33" s="2"/>
      <c r="J33" s="2"/>
      <c r="K33" s="2"/>
      <c r="L33" s="2"/>
      <c r="M33" s="2"/>
      <c r="N33" s="2"/>
      <c r="O33" s="2"/>
      <c r="P33" s="2"/>
      <c r="Q33" s="2"/>
      <c r="R33" s="2"/>
      <c r="S33" s="2"/>
      <c r="T33" s="2"/>
      <c r="U33" s="2"/>
      <c r="V33" s="2"/>
      <c r="W33" s="2"/>
      <c r="X33" s="2"/>
      <c r="Y33" s="2"/>
      <c r="Z33" s="2"/>
    </row>
    <row r="34" spans="1:26" x14ac:dyDescent="0.2">
      <c r="A34" s="3" t="s">
        <v>124</v>
      </c>
      <c r="B34" s="3" t="s">
        <v>125</v>
      </c>
      <c r="C34" s="3" t="s">
        <v>126</v>
      </c>
      <c r="D34" s="3" t="s">
        <v>127</v>
      </c>
      <c r="E34" s="3" t="s">
        <v>76</v>
      </c>
      <c r="F34" s="24" t="s">
        <v>121</v>
      </c>
      <c r="G34" s="3">
        <v>3</v>
      </c>
      <c r="H34" s="2"/>
      <c r="I34" s="2"/>
      <c r="J34" s="2"/>
      <c r="K34" s="2"/>
      <c r="L34" s="2"/>
      <c r="M34" s="2"/>
      <c r="N34" s="2"/>
      <c r="O34" s="2"/>
      <c r="P34" s="2"/>
      <c r="Q34" s="2"/>
      <c r="R34" s="2"/>
      <c r="S34" s="2"/>
      <c r="T34" s="2"/>
      <c r="U34" s="2"/>
      <c r="V34" s="2"/>
      <c r="W34" s="2"/>
      <c r="X34" s="2"/>
      <c r="Y34" s="2"/>
      <c r="Z34" s="2"/>
    </row>
    <row r="35" spans="1:26" x14ac:dyDescent="0.2">
      <c r="A35" s="3" t="s">
        <v>132</v>
      </c>
      <c r="B35" s="3" t="s">
        <v>133</v>
      </c>
      <c r="C35" s="3" t="s">
        <v>134</v>
      </c>
      <c r="D35" s="3">
        <v>2020</v>
      </c>
      <c r="E35" s="3" t="s">
        <v>76</v>
      </c>
      <c r="F35" s="25" t="s">
        <v>135</v>
      </c>
      <c r="G35" s="3">
        <v>2</v>
      </c>
      <c r="H35" s="2"/>
      <c r="I35" s="2"/>
      <c r="J35" s="2"/>
      <c r="K35" s="2"/>
      <c r="L35" s="2"/>
      <c r="M35" s="2"/>
      <c r="N35" s="2"/>
      <c r="O35" s="2"/>
      <c r="P35" s="2"/>
      <c r="Q35" s="2"/>
      <c r="R35" s="2"/>
      <c r="S35" s="2"/>
      <c r="T35" s="2"/>
      <c r="U35" s="2"/>
      <c r="V35" s="2"/>
      <c r="W35" s="2"/>
      <c r="X35" s="2"/>
      <c r="Y35" s="2"/>
      <c r="Z35" s="2"/>
    </row>
    <row r="36" spans="1:26" x14ac:dyDescent="0.2">
      <c r="A36" s="3" t="s">
        <v>339</v>
      </c>
      <c r="B36" s="3" t="s">
        <v>340</v>
      </c>
      <c r="C36" s="3" t="s">
        <v>294</v>
      </c>
      <c r="D36" s="3" t="s">
        <v>293</v>
      </c>
      <c r="E36" s="3" t="s">
        <v>76</v>
      </c>
      <c r="F36" s="25" t="s">
        <v>295</v>
      </c>
      <c r="G36" s="3">
        <v>3</v>
      </c>
      <c r="H36" s="2"/>
      <c r="I36" s="2"/>
      <c r="J36" s="2"/>
      <c r="K36" s="2"/>
      <c r="L36" s="2"/>
      <c r="M36" s="2"/>
      <c r="N36" s="2"/>
      <c r="O36" s="2"/>
      <c r="P36" s="2"/>
      <c r="Q36" s="2"/>
      <c r="R36" s="2"/>
      <c r="S36" s="2"/>
      <c r="T36" s="2"/>
      <c r="U36" s="2"/>
      <c r="V36" s="2"/>
      <c r="W36" s="2"/>
      <c r="X36" s="2"/>
      <c r="Y36" s="2"/>
      <c r="Z36" s="2"/>
    </row>
    <row r="37" spans="1:26" x14ac:dyDescent="0.2">
      <c r="A37" s="3" t="s">
        <v>341</v>
      </c>
      <c r="B37" s="3" t="s">
        <v>297</v>
      </c>
      <c r="C37" s="3" t="s">
        <v>282</v>
      </c>
      <c r="D37" s="3" t="s">
        <v>299</v>
      </c>
      <c r="E37" s="3" t="s">
        <v>300</v>
      </c>
      <c r="F37" s="25" t="s">
        <v>298</v>
      </c>
      <c r="G37" s="3">
        <v>4</v>
      </c>
      <c r="H37" s="2"/>
      <c r="I37" s="2"/>
      <c r="J37" s="2"/>
      <c r="K37" s="2"/>
      <c r="L37" s="2"/>
      <c r="M37" s="2"/>
      <c r="N37" s="2"/>
      <c r="O37" s="2"/>
      <c r="P37" s="2"/>
      <c r="Q37" s="2"/>
      <c r="R37" s="2"/>
      <c r="S37" s="2"/>
      <c r="T37" s="2"/>
      <c r="U37" s="2"/>
      <c r="V37" s="2"/>
      <c r="W37" s="2"/>
      <c r="X37" s="2"/>
      <c r="Y37" s="2"/>
      <c r="Z37" s="2"/>
    </row>
    <row r="38" spans="1:26" x14ac:dyDescent="0.2">
      <c r="A38" s="3" t="s">
        <v>342</v>
      </c>
      <c r="B38" s="2" t="s">
        <v>305</v>
      </c>
      <c r="C38" s="3" t="s">
        <v>284</v>
      </c>
      <c r="D38" s="3" t="s">
        <v>306</v>
      </c>
      <c r="E38" s="3" t="s">
        <v>76</v>
      </c>
      <c r="F38" s="25" t="s">
        <v>308</v>
      </c>
      <c r="G38" s="3">
        <v>5</v>
      </c>
      <c r="H38" s="2"/>
      <c r="I38" s="2"/>
      <c r="J38" s="2"/>
      <c r="K38" s="2"/>
      <c r="L38" s="2"/>
      <c r="M38" s="2"/>
      <c r="N38" s="2"/>
      <c r="O38" s="2"/>
      <c r="P38" s="2"/>
      <c r="Q38" s="2"/>
      <c r="R38" s="2"/>
      <c r="S38" s="2"/>
      <c r="T38" s="2"/>
      <c r="U38" s="2"/>
      <c r="V38" s="2"/>
      <c r="W38" s="2"/>
      <c r="X38" s="2"/>
      <c r="Y38" s="2"/>
      <c r="Z38" s="2"/>
    </row>
    <row r="39" spans="1:26" x14ac:dyDescent="0.2">
      <c r="A39" s="3" t="s">
        <v>343</v>
      </c>
      <c r="B39" s="2" t="s">
        <v>273</v>
      </c>
      <c r="C39" s="2" t="s">
        <v>283</v>
      </c>
      <c r="D39" s="2" t="s">
        <v>241</v>
      </c>
      <c r="E39" s="3" t="s">
        <v>16</v>
      </c>
      <c r="F39" s="25" t="s">
        <v>274</v>
      </c>
      <c r="G39" s="3">
        <v>2</v>
      </c>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1" t="s">
        <v>63</v>
      </c>
      <c r="B42" s="2"/>
      <c r="C42" s="1" t="s">
        <v>64</v>
      </c>
      <c r="D42" s="3" t="s">
        <v>9</v>
      </c>
      <c r="E42" s="3" t="s">
        <v>9</v>
      </c>
      <c r="F42" s="2"/>
      <c r="G42" s="3" t="s">
        <v>18</v>
      </c>
      <c r="H42" s="2"/>
      <c r="I42" s="2"/>
      <c r="J42" s="2"/>
      <c r="K42" s="2"/>
      <c r="L42" s="2"/>
      <c r="M42" s="2"/>
      <c r="N42" s="2"/>
      <c r="O42" s="2"/>
      <c r="P42" s="2"/>
      <c r="Q42" s="2"/>
      <c r="R42" s="2"/>
      <c r="S42" s="2"/>
      <c r="T42" s="2"/>
      <c r="U42" s="2"/>
      <c r="V42" s="2"/>
      <c r="W42" s="2"/>
      <c r="X42" s="2"/>
      <c r="Y42" s="2"/>
      <c r="Z42" s="2"/>
    </row>
    <row r="43" spans="1:26" x14ac:dyDescent="0.2">
      <c r="A43" s="1" t="s">
        <v>103</v>
      </c>
      <c r="B43" s="2"/>
      <c r="C43" s="3" t="s">
        <v>104</v>
      </c>
      <c r="D43" s="3" t="s">
        <v>9</v>
      </c>
      <c r="E43" s="3" t="s">
        <v>9</v>
      </c>
      <c r="F43" s="2"/>
      <c r="G43" s="3" t="s">
        <v>18</v>
      </c>
      <c r="H43" s="2"/>
      <c r="I43" s="2"/>
      <c r="J43" s="2"/>
      <c r="K43" s="2"/>
      <c r="L43" s="2"/>
      <c r="M43" s="2"/>
      <c r="N43" s="2"/>
      <c r="O43" s="2"/>
      <c r="P43" s="2"/>
      <c r="Q43" s="2"/>
      <c r="R43" s="2"/>
      <c r="S43" s="2"/>
      <c r="T43" s="2"/>
      <c r="U43" s="2"/>
      <c r="V43" s="2"/>
      <c r="W43" s="2"/>
      <c r="X43" s="2"/>
      <c r="Y43" s="2"/>
      <c r="Z43" s="2"/>
    </row>
    <row r="44" spans="1:26" x14ac:dyDescent="0.2">
      <c r="A44" s="3" t="s">
        <v>105</v>
      </c>
      <c r="B44" s="3" t="s">
        <v>106</v>
      </c>
      <c r="C44" s="3" t="s">
        <v>107</v>
      </c>
      <c r="D44" s="3" t="s">
        <v>108</v>
      </c>
      <c r="E44" s="3" t="s">
        <v>316</v>
      </c>
      <c r="F44" s="2"/>
      <c r="G44" s="3">
        <v>2</v>
      </c>
      <c r="H44" s="2"/>
      <c r="I44" s="2"/>
      <c r="J44" s="2"/>
      <c r="K44" s="2"/>
      <c r="L44" s="2"/>
      <c r="M44" s="2"/>
      <c r="N44" s="2"/>
      <c r="O44" s="2"/>
      <c r="P44" s="2"/>
      <c r="Q44" s="2"/>
      <c r="R44" s="2"/>
      <c r="S44" s="2"/>
      <c r="T44" s="2"/>
      <c r="U44" s="2"/>
      <c r="V44" s="2"/>
      <c r="W44" s="2"/>
      <c r="X44" s="2"/>
      <c r="Y44" s="2"/>
      <c r="Z44" s="2"/>
    </row>
    <row r="45" spans="1:26" x14ac:dyDescent="0.2">
      <c r="A45" s="3" t="s">
        <v>110</v>
      </c>
      <c r="B45" s="3" t="s">
        <v>106</v>
      </c>
      <c r="C45" s="3" t="s">
        <v>111</v>
      </c>
      <c r="D45" s="3" t="s">
        <v>108</v>
      </c>
      <c r="E45" s="3" t="s">
        <v>112</v>
      </c>
      <c r="F45" s="2"/>
      <c r="G45" s="3">
        <v>2</v>
      </c>
      <c r="H45" s="2"/>
      <c r="I45" s="2"/>
      <c r="J45" s="2"/>
      <c r="K45" s="2"/>
      <c r="L45" s="2"/>
      <c r="M45" s="2"/>
      <c r="N45" s="2"/>
      <c r="O45" s="2"/>
      <c r="P45" s="2"/>
      <c r="Q45" s="2"/>
      <c r="R45" s="2"/>
      <c r="S45" s="2"/>
      <c r="T45" s="2"/>
      <c r="U45" s="2"/>
      <c r="V45" s="2"/>
      <c r="W45" s="2"/>
      <c r="X45" s="2"/>
      <c r="Y45" s="2"/>
      <c r="Z45" s="2"/>
    </row>
    <row r="46" spans="1:26" x14ac:dyDescent="0.2">
      <c r="A46" s="3" t="s">
        <v>113</v>
      </c>
      <c r="B46" s="3" t="s">
        <v>106</v>
      </c>
      <c r="C46" s="3" t="s">
        <v>114</v>
      </c>
      <c r="D46" s="3" t="s">
        <v>108</v>
      </c>
      <c r="E46" s="3" t="s">
        <v>115</v>
      </c>
      <c r="F46" s="2"/>
      <c r="G46" s="3">
        <v>3</v>
      </c>
      <c r="H46" s="2"/>
      <c r="I46" s="2"/>
      <c r="J46" s="2"/>
      <c r="K46" s="2"/>
      <c r="L46" s="2"/>
      <c r="M46" s="2"/>
      <c r="N46" s="2"/>
      <c r="O46" s="2"/>
      <c r="P46" s="2"/>
      <c r="Q46" s="2"/>
      <c r="R46" s="2"/>
      <c r="S46" s="2"/>
      <c r="T46" s="2"/>
      <c r="U46" s="2"/>
      <c r="V46" s="2"/>
      <c r="W46" s="2"/>
      <c r="X46" s="2"/>
      <c r="Y46" s="2"/>
      <c r="Z46" s="2"/>
    </row>
    <row r="47" spans="1:26" x14ac:dyDescent="0.2">
      <c r="A47" s="3" t="s">
        <v>344</v>
      </c>
      <c r="B47" s="17" t="s">
        <v>245</v>
      </c>
      <c r="C47" s="3" t="s">
        <v>287</v>
      </c>
      <c r="D47" s="17" t="s">
        <v>246</v>
      </c>
      <c r="E47" s="3" t="s">
        <v>316</v>
      </c>
      <c r="F47" s="25" t="s">
        <v>317</v>
      </c>
      <c r="G47" s="3">
        <v>5</v>
      </c>
      <c r="H47" s="2"/>
      <c r="I47" s="2"/>
      <c r="J47" s="2"/>
      <c r="K47" s="2"/>
      <c r="L47" s="2"/>
      <c r="M47" s="2"/>
      <c r="N47" s="2"/>
      <c r="O47" s="2"/>
      <c r="P47" s="2"/>
      <c r="Q47" s="2"/>
      <c r="R47" s="2"/>
      <c r="S47" s="2"/>
      <c r="T47" s="2"/>
      <c r="U47" s="2"/>
      <c r="V47" s="2"/>
      <c r="W47" s="2"/>
      <c r="X47" s="2"/>
      <c r="Y47" s="2"/>
      <c r="Z47" s="2"/>
    </row>
    <row r="48" spans="1:26" x14ac:dyDescent="0.2">
      <c r="A48" s="3" t="s">
        <v>345</v>
      </c>
      <c r="B48" s="17" t="s">
        <v>310</v>
      </c>
      <c r="C48" s="17" t="s">
        <v>311</v>
      </c>
      <c r="D48" s="17" t="s">
        <v>312</v>
      </c>
      <c r="E48" s="17" t="s">
        <v>76</v>
      </c>
      <c r="F48" s="25" t="s">
        <v>315</v>
      </c>
      <c r="G48" s="3">
        <v>2</v>
      </c>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1" t="s">
        <v>65</v>
      </c>
      <c r="B50" s="2"/>
      <c r="C50" s="3" t="s">
        <v>66</v>
      </c>
      <c r="D50" s="3" t="s">
        <v>9</v>
      </c>
      <c r="E50" s="3" t="s">
        <v>9</v>
      </c>
      <c r="F50" s="2"/>
      <c r="G50" s="3" t="s">
        <v>18</v>
      </c>
      <c r="H50" s="2"/>
      <c r="I50" s="2"/>
      <c r="J50" s="2"/>
      <c r="K50" s="2"/>
      <c r="L50" s="2"/>
      <c r="M50" s="2"/>
      <c r="N50" s="2"/>
      <c r="O50" s="2"/>
      <c r="P50" s="2"/>
      <c r="Q50" s="2"/>
      <c r="R50" s="2"/>
      <c r="S50" s="2"/>
      <c r="T50" s="2"/>
      <c r="U50" s="2"/>
      <c r="V50" s="2"/>
      <c r="W50" s="2"/>
      <c r="X50" s="2"/>
      <c r="Y50" s="2"/>
      <c r="Z50" s="2"/>
    </row>
    <row r="51" spans="1:26" x14ac:dyDescent="0.2">
      <c r="A51" s="3" t="s">
        <v>67</v>
      </c>
      <c r="B51" s="3" t="s">
        <v>68</v>
      </c>
      <c r="C51" s="3" t="s">
        <v>69</v>
      </c>
      <c r="D51" s="3">
        <v>2017</v>
      </c>
      <c r="E51" s="3" t="s">
        <v>70</v>
      </c>
      <c r="F51" s="24" t="s">
        <v>71</v>
      </c>
      <c r="G51" s="3">
        <v>4</v>
      </c>
      <c r="H51" s="2"/>
      <c r="I51" s="2"/>
      <c r="J51" s="2"/>
      <c r="K51" s="2"/>
      <c r="L51" s="2"/>
      <c r="M51" s="2"/>
      <c r="N51" s="2"/>
      <c r="O51" s="2"/>
      <c r="P51" s="2"/>
      <c r="Q51" s="2"/>
      <c r="R51" s="2"/>
      <c r="S51" s="2"/>
      <c r="T51" s="2"/>
      <c r="U51" s="2"/>
      <c r="V51" s="2"/>
      <c r="W51" s="2"/>
      <c r="X51" s="2"/>
      <c r="Y51" s="2"/>
      <c r="Z51" s="2"/>
    </row>
    <row r="52" spans="1:26" x14ac:dyDescent="0.2">
      <c r="A52" s="3" t="s">
        <v>72</v>
      </c>
      <c r="B52" s="3" t="s">
        <v>73</v>
      </c>
      <c r="C52" s="3" t="s">
        <v>74</v>
      </c>
      <c r="D52" s="3" t="s">
        <v>75</v>
      </c>
      <c r="E52" s="3" t="s">
        <v>76</v>
      </c>
      <c r="F52" s="24" t="s">
        <v>77</v>
      </c>
      <c r="G52" s="3">
        <v>4</v>
      </c>
      <c r="H52" s="2"/>
      <c r="I52" s="2"/>
      <c r="J52" s="2"/>
      <c r="K52" s="2"/>
      <c r="L52" s="2"/>
      <c r="M52" s="2"/>
      <c r="N52" s="2"/>
      <c r="O52" s="2"/>
      <c r="P52" s="2"/>
      <c r="Q52" s="2"/>
      <c r="R52" s="2"/>
      <c r="S52" s="2"/>
      <c r="T52" s="2"/>
      <c r="U52" s="2"/>
      <c r="V52" s="2"/>
      <c r="W52" s="2"/>
      <c r="X52" s="2"/>
      <c r="Y52" s="2"/>
      <c r="Z52" s="2"/>
    </row>
    <row r="53" spans="1:26" x14ac:dyDescent="0.2">
      <c r="A53" s="3" t="s">
        <v>78</v>
      </c>
      <c r="B53" s="3" t="s">
        <v>79</v>
      </c>
      <c r="C53" s="3" t="s">
        <v>80</v>
      </c>
      <c r="D53" s="3" t="s">
        <v>81</v>
      </c>
      <c r="E53" s="3" t="s">
        <v>76</v>
      </c>
      <c r="F53" s="24" t="s">
        <v>82</v>
      </c>
      <c r="G53" s="3">
        <v>4</v>
      </c>
      <c r="H53" s="2"/>
      <c r="I53" s="2"/>
      <c r="J53" s="2"/>
      <c r="K53" s="2"/>
      <c r="L53" s="2"/>
      <c r="M53" s="2"/>
      <c r="N53" s="2"/>
      <c r="O53" s="2"/>
      <c r="P53" s="2"/>
      <c r="Q53" s="2"/>
      <c r="R53" s="2"/>
      <c r="S53" s="2"/>
      <c r="T53" s="2"/>
      <c r="U53" s="2"/>
      <c r="V53" s="2"/>
      <c r="W53" s="2"/>
      <c r="X53" s="2"/>
      <c r="Y53" s="2"/>
      <c r="Z53" s="2"/>
    </row>
    <row r="54" spans="1:26" x14ac:dyDescent="0.2">
      <c r="A54" s="3" t="s">
        <v>83</v>
      </c>
      <c r="B54" s="3" t="s">
        <v>84</v>
      </c>
      <c r="C54" s="3" t="s">
        <v>85</v>
      </c>
      <c r="D54" s="3" t="s">
        <v>86</v>
      </c>
      <c r="E54" s="3" t="s">
        <v>76</v>
      </c>
      <c r="F54" s="24" t="s">
        <v>87</v>
      </c>
      <c r="G54" s="3">
        <v>5</v>
      </c>
      <c r="H54" s="2"/>
      <c r="I54" s="2"/>
      <c r="J54" s="2"/>
      <c r="K54" s="2"/>
      <c r="L54" s="2"/>
      <c r="M54" s="2"/>
      <c r="N54" s="2"/>
      <c r="O54" s="2"/>
      <c r="P54" s="2"/>
      <c r="Q54" s="2"/>
      <c r="R54" s="2"/>
      <c r="S54" s="2"/>
      <c r="T54" s="2"/>
      <c r="U54" s="2"/>
      <c r="V54" s="2"/>
      <c r="W54" s="2"/>
      <c r="X54" s="2"/>
      <c r="Y54" s="2"/>
      <c r="Z54" s="2"/>
    </row>
    <row r="55" spans="1:26" x14ac:dyDescent="0.2">
      <c r="A55" s="3" t="s">
        <v>88</v>
      </c>
      <c r="B55" s="3" t="s">
        <v>89</v>
      </c>
      <c r="C55" s="3" t="s">
        <v>90</v>
      </c>
      <c r="D55" s="3" t="s">
        <v>81</v>
      </c>
      <c r="E55" s="3" t="s">
        <v>316</v>
      </c>
      <c r="F55" s="3" t="s">
        <v>92</v>
      </c>
      <c r="G55" s="3">
        <v>3</v>
      </c>
      <c r="H55" s="2"/>
      <c r="I55" s="2"/>
      <c r="J55" s="2"/>
      <c r="K55" s="2"/>
      <c r="L55" s="2"/>
      <c r="M55" s="2"/>
      <c r="N55" s="2"/>
      <c r="O55" s="2"/>
      <c r="P55" s="2"/>
      <c r="Q55" s="2"/>
      <c r="R55" s="2"/>
      <c r="S55" s="2"/>
      <c r="T55" s="2"/>
      <c r="U55" s="2"/>
      <c r="V55" s="2"/>
      <c r="W55" s="2"/>
      <c r="X55" s="2"/>
      <c r="Y55" s="2"/>
      <c r="Z55" s="2"/>
    </row>
    <row r="56" spans="1:26" x14ac:dyDescent="0.2">
      <c r="A56" s="3" t="s">
        <v>93</v>
      </c>
      <c r="B56" s="3" t="s">
        <v>94</v>
      </c>
      <c r="C56" s="3" t="s">
        <v>95</v>
      </c>
      <c r="D56" s="3" t="s">
        <v>96</v>
      </c>
      <c r="E56" s="3" t="s">
        <v>316</v>
      </c>
      <c r="F56" s="24" t="s">
        <v>97</v>
      </c>
      <c r="G56" s="3">
        <v>3</v>
      </c>
      <c r="H56" s="2"/>
      <c r="I56" s="2"/>
      <c r="J56" s="2"/>
      <c r="K56" s="2"/>
      <c r="L56" s="2"/>
      <c r="M56" s="2"/>
      <c r="N56" s="2"/>
      <c r="O56" s="2"/>
      <c r="P56" s="2"/>
      <c r="Q56" s="2"/>
      <c r="R56" s="2"/>
      <c r="S56" s="2"/>
      <c r="T56" s="2"/>
      <c r="U56" s="2"/>
      <c r="V56" s="2"/>
      <c r="W56" s="2"/>
      <c r="X56" s="2"/>
      <c r="Y56" s="2"/>
      <c r="Z56" s="2"/>
    </row>
    <row r="57" spans="1:26" x14ac:dyDescent="0.2">
      <c r="A57" s="3" t="s">
        <v>98</v>
      </c>
      <c r="B57" s="3" t="s">
        <v>99</v>
      </c>
      <c r="C57" s="3" t="s">
        <v>100</v>
      </c>
      <c r="D57" s="3" t="s">
        <v>101</v>
      </c>
      <c r="E57" s="3" t="s">
        <v>25</v>
      </c>
      <c r="F57" s="3" t="s">
        <v>330</v>
      </c>
      <c r="G57" s="3">
        <v>2</v>
      </c>
      <c r="H57" s="2"/>
      <c r="I57" s="2"/>
      <c r="J57" s="2"/>
      <c r="K57" s="2"/>
      <c r="L57" s="2"/>
      <c r="M57" s="2"/>
      <c r="N57" s="2"/>
      <c r="O57" s="2"/>
      <c r="P57" s="2"/>
      <c r="Q57" s="2"/>
      <c r="R57" s="2"/>
      <c r="S57" s="2"/>
      <c r="T57" s="2"/>
      <c r="U57" s="2"/>
      <c r="V57" s="2"/>
      <c r="W57" s="2"/>
      <c r="X57" s="2"/>
      <c r="Y57" s="2"/>
      <c r="Z57" s="2"/>
    </row>
    <row r="58" spans="1:26" x14ac:dyDescent="0.2">
      <c r="A58" s="3" t="s">
        <v>346</v>
      </c>
      <c r="B58" s="3" t="s">
        <v>219</v>
      </c>
      <c r="C58" s="3" t="s">
        <v>347</v>
      </c>
      <c r="D58" s="3" t="s">
        <v>301</v>
      </c>
      <c r="E58" s="3" t="s">
        <v>76</v>
      </c>
      <c r="F58" s="25" t="s">
        <v>302</v>
      </c>
      <c r="G58" s="3">
        <v>4</v>
      </c>
      <c r="H58" s="2"/>
      <c r="I58" s="2"/>
      <c r="J58" s="2"/>
      <c r="K58" s="2"/>
      <c r="L58" s="2"/>
      <c r="M58" s="2"/>
      <c r="N58" s="2"/>
      <c r="O58" s="2"/>
      <c r="P58" s="2"/>
      <c r="Q58" s="2"/>
      <c r="R58" s="2"/>
      <c r="S58" s="2"/>
      <c r="T58" s="2"/>
      <c r="U58" s="2"/>
      <c r="V58" s="2"/>
      <c r="W58" s="2"/>
      <c r="X58" s="2"/>
      <c r="Y58" s="2"/>
      <c r="Z58" s="2"/>
    </row>
    <row r="59" spans="1:26" x14ac:dyDescent="0.2">
      <c r="A59" s="3" t="s">
        <v>349</v>
      </c>
      <c r="B59" s="3" t="s">
        <v>303</v>
      </c>
      <c r="C59" s="3" t="s">
        <v>286</v>
      </c>
      <c r="D59" s="3" t="s">
        <v>236</v>
      </c>
      <c r="E59" s="3" t="s">
        <v>316</v>
      </c>
      <c r="F59" s="24" t="s">
        <v>251</v>
      </c>
      <c r="G59" s="3">
        <v>3</v>
      </c>
      <c r="H59" s="2"/>
      <c r="I59" s="2"/>
      <c r="J59" s="2"/>
      <c r="K59" s="2"/>
      <c r="L59" s="2"/>
      <c r="M59" s="2"/>
      <c r="N59" s="2"/>
      <c r="O59" s="2"/>
      <c r="P59" s="2"/>
      <c r="Q59" s="2"/>
      <c r="R59" s="2"/>
      <c r="S59" s="2"/>
      <c r="T59" s="2"/>
      <c r="U59" s="2"/>
      <c r="V59" s="2"/>
      <c r="W59" s="2"/>
      <c r="X59" s="2"/>
      <c r="Y59" s="2"/>
      <c r="Z59" s="2"/>
    </row>
    <row r="60" spans="1:26" x14ac:dyDescent="0.2">
      <c r="A60" s="3" t="s">
        <v>350</v>
      </c>
      <c r="B60" s="3" t="s">
        <v>303</v>
      </c>
      <c r="C60" s="3" t="s">
        <v>288</v>
      </c>
      <c r="D60" s="3" t="s">
        <v>236</v>
      </c>
      <c r="E60" s="3" t="s">
        <v>316</v>
      </c>
      <c r="F60" s="25" t="s">
        <v>251</v>
      </c>
      <c r="G60" s="3">
        <v>4</v>
      </c>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D202-439F-4F45-BEBB-8C9F4A970E3A}">
  <dimension ref="A1:Z1009"/>
  <sheetViews>
    <sheetView workbookViewId="0">
      <selection activeCell="K17" sqref="K17"/>
    </sheetView>
  </sheetViews>
  <sheetFormatPr baseColWidth="10" defaultRowHeight="16" x14ac:dyDescent="0.2"/>
  <sheetData>
    <row r="1" spans="1:26" x14ac:dyDescent="0.2">
      <c r="A1" s="1" t="s">
        <v>322</v>
      </c>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1" t="s">
        <v>0</v>
      </c>
      <c r="B4" s="1" t="s">
        <v>1</v>
      </c>
      <c r="C4" s="1" t="s">
        <v>2</v>
      </c>
      <c r="D4" s="1" t="s">
        <v>3</v>
      </c>
      <c r="E4" s="1" t="s">
        <v>4</v>
      </c>
      <c r="F4" s="1" t="s">
        <v>5</v>
      </c>
      <c r="G4" s="1" t="s">
        <v>323</v>
      </c>
      <c r="H4" s="2"/>
      <c r="I4" s="2"/>
      <c r="J4" s="2"/>
      <c r="K4" s="2"/>
      <c r="L4" s="2"/>
      <c r="M4" s="2"/>
      <c r="N4" s="2"/>
      <c r="O4" s="2"/>
      <c r="P4" s="2"/>
      <c r="Q4" s="2"/>
      <c r="R4" s="2"/>
      <c r="S4" s="2"/>
      <c r="T4" s="2"/>
      <c r="U4" s="2"/>
      <c r="V4" s="2"/>
      <c r="W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1" t="s">
        <v>7</v>
      </c>
      <c r="B6" s="2"/>
      <c r="C6" s="1" t="s">
        <v>8</v>
      </c>
      <c r="D6" s="3" t="s">
        <v>9</v>
      </c>
      <c r="E6" s="3" t="s">
        <v>9</v>
      </c>
      <c r="F6" s="2"/>
      <c r="G6" s="3" t="s">
        <v>18</v>
      </c>
      <c r="H6" s="2"/>
      <c r="I6" s="2"/>
      <c r="J6" s="2"/>
      <c r="K6" s="2"/>
      <c r="L6" s="2"/>
      <c r="M6" s="2"/>
      <c r="N6" s="2"/>
      <c r="O6" s="2"/>
      <c r="P6" s="2"/>
      <c r="Q6" s="2"/>
      <c r="R6" s="2"/>
      <c r="S6" s="2"/>
      <c r="T6" s="2"/>
      <c r="U6" s="2"/>
      <c r="V6" s="2"/>
      <c r="W6" s="2"/>
      <c r="X6" s="2"/>
      <c r="Y6" s="2"/>
      <c r="Z6" s="2"/>
    </row>
    <row r="7" spans="1:26" x14ac:dyDescent="0.2">
      <c r="A7" s="1" t="s">
        <v>10</v>
      </c>
      <c r="B7" s="2"/>
      <c r="C7" s="3" t="s">
        <v>11</v>
      </c>
      <c r="D7" s="3" t="s">
        <v>9</v>
      </c>
      <c r="E7" s="3" t="s">
        <v>9</v>
      </c>
      <c r="F7" s="2"/>
      <c r="G7" s="3" t="s">
        <v>18</v>
      </c>
      <c r="H7" s="2"/>
      <c r="I7" s="2"/>
      <c r="J7" s="2"/>
      <c r="K7" s="2"/>
      <c r="L7" s="2"/>
      <c r="M7" s="2"/>
      <c r="N7" s="2"/>
      <c r="O7" s="2"/>
      <c r="P7" s="2"/>
      <c r="Q7" s="2"/>
      <c r="R7" s="2"/>
      <c r="S7" s="2"/>
      <c r="T7" s="2"/>
      <c r="U7" s="2"/>
      <c r="V7" s="2"/>
      <c r="W7" s="2"/>
      <c r="X7" s="2"/>
      <c r="Y7" s="2"/>
      <c r="Z7" s="2"/>
    </row>
    <row r="8" spans="1:26" x14ac:dyDescent="0.2">
      <c r="A8" s="3" t="s">
        <v>12</v>
      </c>
      <c r="B8" s="3" t="s">
        <v>13</v>
      </c>
      <c r="C8" s="3" t="s">
        <v>263</v>
      </c>
      <c r="D8" s="3" t="s">
        <v>15</v>
      </c>
      <c r="E8" s="3" t="s">
        <v>16</v>
      </c>
      <c r="F8" s="24" t="s">
        <v>17</v>
      </c>
      <c r="G8" s="3" t="s">
        <v>324</v>
      </c>
      <c r="H8" s="17">
        <v>3</v>
      </c>
      <c r="I8" s="2"/>
      <c r="J8" s="2"/>
      <c r="K8" s="2"/>
      <c r="L8" s="2"/>
      <c r="M8" s="2"/>
      <c r="N8" s="2"/>
      <c r="O8" s="2"/>
      <c r="P8" s="2"/>
      <c r="Q8" s="2"/>
      <c r="R8" s="2"/>
      <c r="S8" s="2"/>
      <c r="T8" s="2"/>
      <c r="U8" s="2"/>
      <c r="V8" s="2"/>
      <c r="W8" s="2"/>
      <c r="X8" s="2"/>
      <c r="Y8" s="2"/>
      <c r="Z8" s="2"/>
    </row>
    <row r="9" spans="1:26" x14ac:dyDescent="0.2">
      <c r="A9" s="3" t="s">
        <v>19</v>
      </c>
      <c r="B9" s="3" t="s">
        <v>13</v>
      </c>
      <c r="C9" s="3" t="s">
        <v>264</v>
      </c>
      <c r="D9" s="3" t="s">
        <v>15</v>
      </c>
      <c r="E9" s="3" t="s">
        <v>16</v>
      </c>
      <c r="F9" s="24" t="s">
        <v>17</v>
      </c>
      <c r="G9" s="3" t="s">
        <v>324</v>
      </c>
      <c r="H9" s="17">
        <v>2</v>
      </c>
      <c r="I9" s="2"/>
      <c r="J9" s="2"/>
      <c r="K9" s="2"/>
      <c r="L9" s="2"/>
      <c r="M9" s="2"/>
      <c r="N9" s="2"/>
      <c r="O9" s="2"/>
      <c r="P9" s="2"/>
      <c r="Q9" s="2"/>
      <c r="R9" s="2"/>
      <c r="S9" s="2"/>
      <c r="T9" s="2"/>
      <c r="U9" s="2"/>
      <c r="V9" s="2"/>
      <c r="W9" s="2"/>
      <c r="X9" s="2"/>
      <c r="Y9" s="2"/>
      <c r="Z9" s="2"/>
    </row>
    <row r="10" spans="1:26" x14ac:dyDescent="0.2">
      <c r="A10" s="3" t="s">
        <v>21</v>
      </c>
      <c r="B10" s="3" t="s">
        <v>22</v>
      </c>
      <c r="C10" s="3" t="s">
        <v>262</v>
      </c>
      <c r="D10" s="3" t="s">
        <v>24</v>
      </c>
      <c r="E10" s="3" t="s">
        <v>25</v>
      </c>
      <c r="F10" s="24" t="s">
        <v>26</v>
      </c>
      <c r="G10" s="3" t="s">
        <v>324</v>
      </c>
      <c r="H10" s="17">
        <v>4</v>
      </c>
      <c r="I10" s="2"/>
      <c r="J10" s="2"/>
      <c r="K10" s="2"/>
      <c r="L10" s="2"/>
      <c r="M10" s="2"/>
      <c r="N10" s="2"/>
      <c r="O10" s="2"/>
      <c r="P10" s="2"/>
      <c r="Q10" s="2"/>
      <c r="R10" s="2"/>
      <c r="S10" s="2"/>
      <c r="T10" s="2"/>
      <c r="U10" s="2"/>
      <c r="V10" s="2"/>
      <c r="W10" s="2"/>
      <c r="X10" s="2"/>
      <c r="Y10" s="2"/>
      <c r="Z10" s="2"/>
    </row>
    <row r="11" spans="1:26" x14ac:dyDescent="0.2">
      <c r="A11" s="3" t="s">
        <v>33</v>
      </c>
      <c r="B11" s="3" t="s">
        <v>28</v>
      </c>
      <c r="C11" s="3" t="s">
        <v>34</v>
      </c>
      <c r="D11" s="3" t="s">
        <v>30</v>
      </c>
      <c r="E11" s="3" t="s">
        <v>31</v>
      </c>
      <c r="F11" s="3" t="s">
        <v>325</v>
      </c>
      <c r="G11" s="3" t="s">
        <v>324</v>
      </c>
      <c r="H11" s="17">
        <v>3</v>
      </c>
      <c r="I11" s="2"/>
      <c r="J11" s="2"/>
      <c r="K11" s="2"/>
      <c r="L11" s="2"/>
      <c r="M11" s="2"/>
      <c r="N11" s="2"/>
      <c r="O11" s="2"/>
      <c r="P11" s="2"/>
      <c r="Q11" s="2"/>
      <c r="R11" s="2"/>
      <c r="S11" s="2"/>
      <c r="T11" s="2"/>
      <c r="U11" s="2"/>
      <c r="V11" s="2"/>
      <c r="W11" s="2"/>
      <c r="X11" s="2"/>
      <c r="Y11" s="2"/>
      <c r="Z11" s="2"/>
    </row>
    <row r="12" spans="1:26" x14ac:dyDescent="0.2">
      <c r="A12" s="3" t="s">
        <v>326</v>
      </c>
      <c r="B12" s="3" t="s">
        <v>13</v>
      </c>
      <c r="C12" s="3" t="s">
        <v>281</v>
      </c>
      <c r="D12" s="3" t="s">
        <v>15</v>
      </c>
      <c r="E12" s="3" t="s">
        <v>16</v>
      </c>
      <c r="F12" s="24" t="s">
        <v>17</v>
      </c>
      <c r="G12" s="3" t="s">
        <v>324</v>
      </c>
      <c r="H12" s="17">
        <v>2</v>
      </c>
      <c r="I12" s="2"/>
      <c r="J12" s="2"/>
      <c r="K12" s="2"/>
      <c r="L12" s="2"/>
      <c r="M12" s="2"/>
      <c r="N12" s="2"/>
      <c r="O12" s="2"/>
      <c r="P12" s="2"/>
      <c r="Q12" s="2"/>
      <c r="R12" s="2"/>
      <c r="S12" s="2"/>
      <c r="T12" s="2"/>
      <c r="U12" s="2"/>
      <c r="V12" s="2"/>
      <c r="W12" s="2"/>
      <c r="X12" s="2"/>
      <c r="Y12" s="2"/>
      <c r="Z12" s="2"/>
    </row>
    <row r="13" spans="1:26" x14ac:dyDescent="0.2">
      <c r="A13" s="3" t="s">
        <v>327</v>
      </c>
      <c r="B13" s="3" t="s">
        <v>314</v>
      </c>
      <c r="C13" s="3" t="s">
        <v>261</v>
      </c>
      <c r="D13" s="3" t="s">
        <v>314</v>
      </c>
      <c r="E13" s="3" t="s">
        <v>314</v>
      </c>
      <c r="F13" s="3" t="s">
        <v>314</v>
      </c>
      <c r="G13" s="3" t="s">
        <v>324</v>
      </c>
      <c r="H13" s="17">
        <v>4</v>
      </c>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1" t="s">
        <v>36</v>
      </c>
      <c r="B15" s="2"/>
      <c r="C15" s="3" t="s">
        <v>37</v>
      </c>
      <c r="D15" s="3" t="s">
        <v>9</v>
      </c>
      <c r="E15" s="3" t="s">
        <v>9</v>
      </c>
      <c r="F15" s="2"/>
      <c r="G15" s="3" t="s">
        <v>18</v>
      </c>
      <c r="H15" s="2"/>
      <c r="I15" s="2"/>
      <c r="J15" s="2"/>
      <c r="K15" s="2"/>
      <c r="L15" s="2"/>
      <c r="M15" s="2"/>
      <c r="N15" s="2"/>
      <c r="O15" s="2"/>
      <c r="P15" s="2"/>
      <c r="Q15" s="2"/>
      <c r="R15" s="2"/>
      <c r="S15" s="2"/>
      <c r="T15" s="2"/>
      <c r="U15" s="2"/>
      <c r="V15" s="2"/>
      <c r="W15" s="2"/>
      <c r="X15" s="2"/>
      <c r="Y15" s="2"/>
      <c r="Z15" s="2"/>
    </row>
    <row r="16" spans="1:26" x14ac:dyDescent="0.2">
      <c r="A16" s="3" t="s">
        <v>265</v>
      </c>
      <c r="B16" s="3" t="s">
        <v>39</v>
      </c>
      <c r="C16" s="3" t="s">
        <v>40</v>
      </c>
      <c r="D16" s="3" t="s">
        <v>41</v>
      </c>
      <c r="E16" s="3" t="s">
        <v>42</v>
      </c>
      <c r="F16" s="3" t="s">
        <v>328</v>
      </c>
      <c r="G16" s="3" t="s">
        <v>324</v>
      </c>
      <c r="H16" s="17">
        <v>4</v>
      </c>
      <c r="I16" s="2"/>
      <c r="J16" s="2"/>
      <c r="K16" s="2"/>
      <c r="L16" s="2"/>
      <c r="M16" s="2"/>
      <c r="N16" s="2"/>
      <c r="O16" s="2"/>
      <c r="P16" s="2"/>
      <c r="Q16" s="2"/>
      <c r="R16" s="2"/>
      <c r="S16" s="2"/>
      <c r="T16" s="2"/>
      <c r="U16" s="2"/>
      <c r="V16" s="2"/>
      <c r="W16" s="2"/>
      <c r="X16" s="2"/>
      <c r="Y16" s="2"/>
      <c r="Z16" s="2"/>
    </row>
    <row r="17" spans="1:26" x14ac:dyDescent="0.2">
      <c r="A17" s="3" t="s">
        <v>44</v>
      </c>
      <c r="B17" s="3" t="s">
        <v>45</v>
      </c>
      <c r="C17" s="3" t="s">
        <v>46</v>
      </c>
      <c r="D17" s="3" t="s">
        <v>47</v>
      </c>
      <c r="E17" s="3" t="s">
        <v>48</v>
      </c>
      <c r="F17" s="3" t="s">
        <v>329</v>
      </c>
      <c r="G17" s="3" t="s">
        <v>324</v>
      </c>
      <c r="H17" s="17">
        <v>3</v>
      </c>
      <c r="I17" s="2"/>
      <c r="J17" s="2"/>
      <c r="K17" s="2"/>
      <c r="L17" s="2"/>
      <c r="M17" s="2"/>
      <c r="N17" s="2"/>
      <c r="O17" s="2"/>
      <c r="P17" s="2"/>
      <c r="Q17" s="2"/>
      <c r="R17" s="2"/>
      <c r="S17" s="2"/>
      <c r="T17" s="2"/>
      <c r="U17" s="2"/>
      <c r="V17" s="2"/>
      <c r="W17" s="2"/>
      <c r="X17" s="2"/>
      <c r="Y17" s="2"/>
      <c r="Z17" s="2"/>
    </row>
    <row r="18" spans="1:26" x14ac:dyDescent="0.2">
      <c r="A18" s="3" t="s">
        <v>50</v>
      </c>
      <c r="B18" s="3" t="s">
        <v>51</v>
      </c>
      <c r="C18" s="3" t="s">
        <v>52</v>
      </c>
      <c r="D18" s="3" t="s">
        <v>53</v>
      </c>
      <c r="E18" s="3" t="s">
        <v>48</v>
      </c>
      <c r="F18" s="3" t="s">
        <v>54</v>
      </c>
      <c r="G18" s="3" t="s">
        <v>324</v>
      </c>
      <c r="H18" s="17">
        <v>4</v>
      </c>
      <c r="I18" s="2"/>
      <c r="J18" s="2"/>
      <c r="K18" s="2"/>
      <c r="L18" s="2"/>
      <c r="M18" s="2"/>
      <c r="N18" s="2"/>
      <c r="O18" s="2"/>
      <c r="P18" s="2"/>
      <c r="Q18" s="2"/>
      <c r="R18" s="2"/>
      <c r="S18" s="2"/>
      <c r="T18" s="2"/>
      <c r="U18" s="2"/>
      <c r="V18" s="2"/>
      <c r="W18" s="2"/>
      <c r="X18" s="2"/>
      <c r="Y18" s="2"/>
      <c r="Z18" s="2"/>
    </row>
    <row r="19" spans="1:26" x14ac:dyDescent="0.2">
      <c r="A19" s="3" t="s">
        <v>266</v>
      </c>
      <c r="B19" s="3" t="s">
        <v>56</v>
      </c>
      <c r="C19" s="3" t="s">
        <v>57</v>
      </c>
      <c r="D19" s="3" t="s">
        <v>58</v>
      </c>
      <c r="E19" s="3" t="s">
        <v>59</v>
      </c>
      <c r="F19" s="3" t="s">
        <v>60</v>
      </c>
      <c r="G19" s="3" t="s">
        <v>324</v>
      </c>
      <c r="H19" s="17">
        <v>1</v>
      </c>
      <c r="I19" s="2"/>
      <c r="J19" s="2"/>
      <c r="K19" s="2"/>
      <c r="L19" s="2"/>
      <c r="M19" s="2"/>
      <c r="N19" s="2"/>
      <c r="O19" s="2"/>
      <c r="P19" s="2"/>
      <c r="Q19" s="2"/>
      <c r="R19" s="2"/>
      <c r="S19" s="2"/>
      <c r="T19" s="2"/>
      <c r="U19" s="2"/>
      <c r="V19" s="2"/>
      <c r="W19" s="2"/>
      <c r="X19" s="2"/>
      <c r="Y19" s="2"/>
      <c r="Z19" s="2"/>
    </row>
    <row r="20" spans="1:26" x14ac:dyDescent="0.2">
      <c r="A20" s="3" t="s">
        <v>61</v>
      </c>
      <c r="B20" s="3" t="s">
        <v>51</v>
      </c>
      <c r="C20" s="3" t="s">
        <v>62</v>
      </c>
      <c r="D20" s="3" t="s">
        <v>53</v>
      </c>
      <c r="E20" s="3" t="s">
        <v>48</v>
      </c>
      <c r="F20" s="3" t="s">
        <v>54</v>
      </c>
      <c r="G20" s="3" t="s">
        <v>324</v>
      </c>
      <c r="H20" s="17">
        <v>1</v>
      </c>
      <c r="I20" s="2"/>
      <c r="J20" s="2"/>
      <c r="K20" s="2"/>
      <c r="L20" s="2"/>
      <c r="M20" s="2"/>
      <c r="N20" s="2"/>
      <c r="O20" s="2"/>
      <c r="P20" s="2"/>
      <c r="Q20" s="2"/>
      <c r="R20" s="2"/>
      <c r="S20" s="2"/>
      <c r="T20" s="2"/>
      <c r="U20" s="2"/>
      <c r="V20" s="2"/>
      <c r="W20" s="2"/>
      <c r="X20" s="2"/>
      <c r="Y20" s="2"/>
      <c r="Z20" s="2"/>
    </row>
    <row r="21" spans="1:26" x14ac:dyDescent="0.2">
      <c r="A21" s="3" t="s">
        <v>254</v>
      </c>
      <c r="B21" s="3" t="s">
        <v>99</v>
      </c>
      <c r="C21" s="3" t="s">
        <v>129</v>
      </c>
      <c r="D21" s="3" t="s">
        <v>101</v>
      </c>
      <c r="E21" s="3" t="s">
        <v>25</v>
      </c>
      <c r="F21" s="3" t="s">
        <v>330</v>
      </c>
      <c r="G21" s="3" t="s">
        <v>324</v>
      </c>
      <c r="H21" s="17">
        <v>5</v>
      </c>
      <c r="I21" s="2"/>
      <c r="J21" s="2"/>
      <c r="K21" s="2"/>
      <c r="L21" s="2"/>
      <c r="M21" s="2"/>
      <c r="N21" s="2"/>
      <c r="O21" s="2"/>
      <c r="P21" s="2"/>
      <c r="Q21" s="2"/>
      <c r="R21" s="2"/>
      <c r="S21" s="2"/>
      <c r="T21" s="2"/>
      <c r="U21" s="2"/>
      <c r="V21" s="2"/>
      <c r="W21" s="2"/>
      <c r="X21" s="2"/>
      <c r="Y21" s="2"/>
      <c r="Z21" s="2"/>
    </row>
    <row r="22" spans="1:26" x14ac:dyDescent="0.2">
      <c r="A22" s="3" t="s">
        <v>130</v>
      </c>
      <c r="B22" s="3" t="s">
        <v>99</v>
      </c>
      <c r="C22" s="3" t="s">
        <v>131</v>
      </c>
      <c r="D22" s="3" t="s">
        <v>101</v>
      </c>
      <c r="E22" s="3" t="s">
        <v>25</v>
      </c>
      <c r="F22" s="3" t="s">
        <v>330</v>
      </c>
      <c r="G22" s="3" t="s">
        <v>324</v>
      </c>
      <c r="H22" s="17">
        <v>4</v>
      </c>
      <c r="I22" s="2"/>
      <c r="J22" s="2"/>
      <c r="K22" s="2"/>
      <c r="L22" s="2"/>
      <c r="M22" s="2"/>
      <c r="N22" s="2"/>
      <c r="O22" s="2"/>
      <c r="P22" s="2"/>
      <c r="Q22" s="2"/>
      <c r="R22" s="2"/>
      <c r="S22" s="2"/>
      <c r="T22" s="2"/>
      <c r="U22" s="2"/>
      <c r="V22" s="2"/>
      <c r="W22" s="2"/>
      <c r="X22" s="2"/>
      <c r="Y22" s="2"/>
      <c r="Z22" s="2"/>
    </row>
    <row r="23" spans="1:26" x14ac:dyDescent="0.2">
      <c r="A23" s="3" t="s">
        <v>267</v>
      </c>
      <c r="B23" s="3" t="s">
        <v>28</v>
      </c>
      <c r="C23" s="3" t="s">
        <v>29</v>
      </c>
      <c r="D23" s="3" t="s">
        <v>30</v>
      </c>
      <c r="E23" s="3" t="s">
        <v>31</v>
      </c>
      <c r="F23" s="3" t="s">
        <v>325</v>
      </c>
      <c r="G23" s="3" t="s">
        <v>324</v>
      </c>
      <c r="H23" s="17">
        <v>4</v>
      </c>
      <c r="I23" s="2"/>
      <c r="J23" s="2"/>
      <c r="K23" s="2"/>
      <c r="L23" s="2"/>
      <c r="M23" s="2"/>
      <c r="N23" s="2"/>
      <c r="O23" s="2"/>
      <c r="P23" s="2"/>
      <c r="Q23" s="2"/>
      <c r="R23" s="2"/>
      <c r="S23" s="2"/>
      <c r="T23" s="2"/>
      <c r="U23" s="2"/>
      <c r="V23" s="2"/>
      <c r="W23" s="2"/>
      <c r="X23" s="2"/>
      <c r="Y23" s="2"/>
      <c r="Z23" s="2"/>
    </row>
    <row r="24" spans="1:26" x14ac:dyDescent="0.2">
      <c r="A24" s="3" t="s">
        <v>332</v>
      </c>
      <c r="B24" s="3" t="s">
        <v>51</v>
      </c>
      <c r="C24" s="3" t="s">
        <v>272</v>
      </c>
      <c r="D24" s="3" t="s">
        <v>53</v>
      </c>
      <c r="E24" s="3" t="s">
        <v>48</v>
      </c>
      <c r="F24" s="3" t="s">
        <v>54</v>
      </c>
      <c r="G24" s="3" t="s">
        <v>324</v>
      </c>
      <c r="H24" s="17">
        <v>2</v>
      </c>
      <c r="I24" s="2"/>
      <c r="J24" s="2"/>
      <c r="K24" s="2"/>
      <c r="L24" s="2"/>
      <c r="M24" s="2"/>
      <c r="N24" s="2"/>
      <c r="O24" s="2"/>
      <c r="P24" s="2"/>
      <c r="Q24" s="2"/>
      <c r="R24" s="2"/>
      <c r="S24" s="2"/>
      <c r="T24" s="2"/>
      <c r="U24" s="2"/>
      <c r="V24" s="2"/>
      <c r="W24" s="2"/>
      <c r="X24" s="2"/>
      <c r="Y24" s="2"/>
      <c r="Z24" s="2"/>
    </row>
    <row r="25" spans="1:26" x14ac:dyDescent="0.2">
      <c r="A25" s="3" t="s">
        <v>334</v>
      </c>
      <c r="B25" s="3" t="s">
        <v>335</v>
      </c>
      <c r="C25" s="3" t="s">
        <v>289</v>
      </c>
      <c r="D25" s="3" t="s">
        <v>270</v>
      </c>
      <c r="E25" s="3" t="s">
        <v>31</v>
      </c>
      <c r="F25" s="24" t="s">
        <v>271</v>
      </c>
      <c r="G25" s="3" t="s">
        <v>324</v>
      </c>
      <c r="H25" s="17">
        <v>2</v>
      </c>
      <c r="I25" s="2"/>
      <c r="J25" s="2"/>
      <c r="K25" s="2"/>
      <c r="L25" s="2"/>
      <c r="M25" s="2"/>
      <c r="N25" s="2"/>
      <c r="O25" s="2"/>
      <c r="P25" s="2"/>
      <c r="Q25" s="2"/>
      <c r="R25" s="2"/>
      <c r="S25" s="2"/>
      <c r="T25" s="2"/>
      <c r="U25" s="2"/>
      <c r="V25" s="2"/>
      <c r="W25" s="2"/>
      <c r="X25" s="2"/>
      <c r="Y25" s="2"/>
      <c r="Z25" s="2"/>
    </row>
    <row r="26" spans="1:26" x14ac:dyDescent="0.2">
      <c r="A26" s="3" t="s">
        <v>336</v>
      </c>
      <c r="B26" s="3" t="s">
        <v>51</v>
      </c>
      <c r="C26" s="3" t="s">
        <v>290</v>
      </c>
      <c r="D26" s="3" t="s">
        <v>53</v>
      </c>
      <c r="E26" s="3" t="s">
        <v>48</v>
      </c>
      <c r="F26" s="3" t="s">
        <v>54</v>
      </c>
      <c r="G26" s="3" t="s">
        <v>324</v>
      </c>
      <c r="H26" s="17">
        <v>2</v>
      </c>
      <c r="I26" s="2"/>
      <c r="J26" s="2"/>
      <c r="K26" s="2"/>
      <c r="L26" s="2"/>
      <c r="M26" s="2"/>
      <c r="N26" s="2"/>
      <c r="O26" s="2"/>
      <c r="P26" s="2"/>
      <c r="Q26" s="2"/>
      <c r="R26" s="2"/>
      <c r="S26" s="2"/>
      <c r="T26" s="2"/>
      <c r="U26" s="2"/>
      <c r="V26" s="2"/>
      <c r="W26" s="2"/>
      <c r="X26" s="2"/>
      <c r="Y26" s="2"/>
      <c r="Z26" s="2"/>
    </row>
    <row r="27" spans="1:26" x14ac:dyDescent="0.2">
      <c r="A27" s="3" t="s">
        <v>337</v>
      </c>
      <c r="B27" s="3" t="s">
        <v>51</v>
      </c>
      <c r="C27" s="3" t="s">
        <v>292</v>
      </c>
      <c r="D27" s="3" t="s">
        <v>53</v>
      </c>
      <c r="E27" s="3" t="s">
        <v>48</v>
      </c>
      <c r="F27" s="3" t="s">
        <v>54</v>
      </c>
      <c r="G27" s="3" t="s">
        <v>324</v>
      </c>
      <c r="H27" s="17">
        <v>1</v>
      </c>
      <c r="I27" s="2"/>
      <c r="J27" s="2"/>
      <c r="K27" s="2"/>
      <c r="L27" s="2"/>
      <c r="M27" s="2"/>
      <c r="N27" s="2"/>
      <c r="O27" s="2"/>
      <c r="P27" s="2"/>
      <c r="Q27" s="2"/>
      <c r="R27" s="2"/>
      <c r="S27" s="2"/>
      <c r="T27" s="2"/>
      <c r="U27" s="2"/>
      <c r="V27" s="2"/>
      <c r="W27" s="2"/>
      <c r="X27" s="2"/>
      <c r="Y27" s="2"/>
      <c r="Z27" s="2"/>
    </row>
    <row r="28" spans="1:26" x14ac:dyDescent="0.2">
      <c r="A28" s="3" t="s">
        <v>338</v>
      </c>
      <c r="B28" s="3" t="s">
        <v>51</v>
      </c>
      <c r="C28" s="3" t="s">
        <v>291</v>
      </c>
      <c r="D28" s="3" t="s">
        <v>53</v>
      </c>
      <c r="E28" s="3" t="s">
        <v>48</v>
      </c>
      <c r="F28" s="3" t="s">
        <v>54</v>
      </c>
      <c r="G28" s="3" t="s">
        <v>324</v>
      </c>
      <c r="H28" s="17">
        <v>1</v>
      </c>
      <c r="I28" s="2"/>
      <c r="J28" s="2"/>
      <c r="K28" s="2"/>
      <c r="L28" s="2"/>
      <c r="M28" s="2"/>
      <c r="N28" s="2"/>
      <c r="O28" s="2"/>
      <c r="P28" s="2"/>
      <c r="Q28" s="2"/>
      <c r="R28" s="2"/>
      <c r="S28" s="2"/>
      <c r="T28" s="2"/>
      <c r="U28" s="2"/>
      <c r="V28" s="2"/>
      <c r="W28" s="2"/>
      <c r="X28" s="2"/>
      <c r="Y28" s="2"/>
      <c r="Z28" s="2"/>
    </row>
    <row r="29" spans="1:26" x14ac:dyDescent="0.2">
      <c r="A29" s="3" t="s">
        <v>268</v>
      </c>
      <c r="B29" s="2"/>
      <c r="C29" s="2"/>
      <c r="D29" s="2"/>
      <c r="E29" s="2"/>
      <c r="F29" s="2"/>
      <c r="G29" s="3" t="s">
        <v>324</v>
      </c>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1" t="s">
        <v>139</v>
      </c>
      <c r="B31" s="2"/>
      <c r="C31" s="3" t="s">
        <v>116</v>
      </c>
      <c r="D31" s="3" t="s">
        <v>9</v>
      </c>
      <c r="E31" s="3" t="s">
        <v>9</v>
      </c>
      <c r="F31" s="2"/>
      <c r="G31" s="3" t="s">
        <v>18</v>
      </c>
      <c r="H31" s="2"/>
      <c r="I31" s="2"/>
      <c r="J31" s="2"/>
      <c r="K31" s="2"/>
      <c r="L31" s="2"/>
      <c r="M31" s="2"/>
      <c r="N31" s="2"/>
      <c r="O31" s="2"/>
      <c r="P31" s="2"/>
      <c r="Q31" s="2"/>
      <c r="R31" s="2"/>
      <c r="S31" s="2"/>
      <c r="T31" s="2"/>
      <c r="U31" s="2"/>
      <c r="V31" s="2"/>
      <c r="W31" s="2"/>
      <c r="X31" s="2"/>
      <c r="Y31" s="2"/>
      <c r="Z31" s="2"/>
    </row>
    <row r="32" spans="1:26" x14ac:dyDescent="0.2">
      <c r="A32" s="3" t="s">
        <v>117</v>
      </c>
      <c r="B32" s="3" t="s">
        <v>118</v>
      </c>
      <c r="C32" s="3" t="s">
        <v>119</v>
      </c>
      <c r="D32" s="3" t="s">
        <v>120</v>
      </c>
      <c r="E32" s="3" t="s">
        <v>76</v>
      </c>
      <c r="F32" s="24" t="s">
        <v>121</v>
      </c>
      <c r="G32" s="3" t="s">
        <v>324</v>
      </c>
      <c r="H32" s="17">
        <v>5</v>
      </c>
      <c r="I32" s="2"/>
      <c r="J32" s="2"/>
      <c r="K32" s="2"/>
      <c r="L32" s="2"/>
      <c r="M32" s="2"/>
      <c r="N32" s="2"/>
      <c r="O32" s="2"/>
      <c r="P32" s="2"/>
      <c r="Q32" s="2"/>
      <c r="R32" s="2"/>
      <c r="S32" s="2"/>
      <c r="T32" s="2"/>
      <c r="U32" s="2"/>
      <c r="V32" s="2"/>
      <c r="W32" s="2"/>
      <c r="X32" s="2"/>
      <c r="Y32" s="2"/>
      <c r="Z32" s="2"/>
    </row>
    <row r="33" spans="1:26" x14ac:dyDescent="0.2">
      <c r="A33" s="3" t="s">
        <v>122</v>
      </c>
      <c r="B33" s="3" t="s">
        <v>99</v>
      </c>
      <c r="C33" s="3" t="s">
        <v>123</v>
      </c>
      <c r="D33" s="3" t="s">
        <v>101</v>
      </c>
      <c r="E33" s="3" t="s">
        <v>25</v>
      </c>
      <c r="F33" s="25" t="s">
        <v>307</v>
      </c>
      <c r="G33" s="3" t="s">
        <v>324</v>
      </c>
      <c r="H33" s="17">
        <v>4</v>
      </c>
      <c r="I33" s="2"/>
      <c r="J33" s="2"/>
      <c r="K33" s="2"/>
      <c r="L33" s="2"/>
      <c r="M33" s="2"/>
      <c r="N33" s="2"/>
      <c r="O33" s="2"/>
      <c r="P33" s="2"/>
      <c r="Q33" s="2"/>
      <c r="R33" s="2"/>
      <c r="S33" s="2"/>
      <c r="T33" s="2"/>
      <c r="U33" s="2"/>
      <c r="V33" s="2"/>
      <c r="W33" s="2"/>
      <c r="X33" s="2"/>
      <c r="Y33" s="2"/>
      <c r="Z33" s="2"/>
    </row>
    <row r="34" spans="1:26" x14ac:dyDescent="0.2">
      <c r="A34" s="3" t="s">
        <v>124</v>
      </c>
      <c r="B34" s="3" t="s">
        <v>125</v>
      </c>
      <c r="C34" s="3" t="s">
        <v>126</v>
      </c>
      <c r="D34" s="3" t="s">
        <v>127</v>
      </c>
      <c r="E34" s="3" t="s">
        <v>76</v>
      </c>
      <c r="F34" s="24" t="s">
        <v>121</v>
      </c>
      <c r="G34" s="3" t="s">
        <v>324</v>
      </c>
      <c r="H34" s="17">
        <v>4</v>
      </c>
      <c r="I34" s="2"/>
      <c r="J34" s="2"/>
      <c r="K34" s="2"/>
      <c r="L34" s="2"/>
      <c r="M34" s="2"/>
      <c r="N34" s="2"/>
      <c r="O34" s="2"/>
      <c r="P34" s="2"/>
      <c r="Q34" s="2"/>
      <c r="R34" s="2"/>
      <c r="S34" s="2"/>
      <c r="T34" s="2"/>
      <c r="U34" s="2"/>
      <c r="V34" s="2"/>
      <c r="W34" s="2"/>
      <c r="X34" s="2"/>
      <c r="Y34" s="2"/>
      <c r="Z34" s="2"/>
    </row>
    <row r="35" spans="1:26" x14ac:dyDescent="0.2">
      <c r="A35" s="3" t="s">
        <v>132</v>
      </c>
      <c r="B35" s="3" t="s">
        <v>133</v>
      </c>
      <c r="C35" s="3" t="s">
        <v>134</v>
      </c>
      <c r="D35" s="3">
        <v>2020</v>
      </c>
      <c r="E35" s="3" t="s">
        <v>76</v>
      </c>
      <c r="F35" s="25" t="s">
        <v>135</v>
      </c>
      <c r="G35" s="3" t="s">
        <v>324</v>
      </c>
      <c r="H35" s="17">
        <v>4</v>
      </c>
      <c r="I35" s="2"/>
      <c r="J35" s="2"/>
      <c r="K35" s="2"/>
      <c r="L35" s="2"/>
      <c r="M35" s="2"/>
      <c r="N35" s="2"/>
      <c r="O35" s="2"/>
      <c r="P35" s="2"/>
      <c r="Q35" s="2"/>
      <c r="R35" s="2"/>
      <c r="S35" s="2"/>
      <c r="T35" s="2"/>
      <c r="U35" s="2"/>
      <c r="V35" s="2"/>
      <c r="W35" s="2"/>
      <c r="X35" s="2"/>
      <c r="Y35" s="2"/>
      <c r="Z35" s="2"/>
    </row>
    <row r="36" spans="1:26" x14ac:dyDescent="0.2">
      <c r="A36" s="3" t="s">
        <v>339</v>
      </c>
      <c r="B36" s="3" t="s">
        <v>340</v>
      </c>
      <c r="C36" s="3" t="s">
        <v>294</v>
      </c>
      <c r="D36" s="3" t="s">
        <v>293</v>
      </c>
      <c r="E36" s="3" t="s">
        <v>76</v>
      </c>
      <c r="F36" s="25" t="s">
        <v>295</v>
      </c>
      <c r="G36" s="3" t="s">
        <v>324</v>
      </c>
      <c r="H36" s="17">
        <v>4</v>
      </c>
      <c r="I36" s="2"/>
      <c r="J36" s="2"/>
      <c r="K36" s="2"/>
      <c r="L36" s="2"/>
      <c r="M36" s="2"/>
      <c r="N36" s="2"/>
      <c r="O36" s="2"/>
      <c r="P36" s="2"/>
      <c r="Q36" s="2"/>
      <c r="R36" s="2"/>
      <c r="S36" s="2"/>
      <c r="T36" s="2"/>
      <c r="U36" s="2"/>
      <c r="V36" s="2"/>
      <c r="W36" s="2"/>
      <c r="X36" s="2"/>
      <c r="Y36" s="2"/>
      <c r="Z36" s="2"/>
    </row>
    <row r="37" spans="1:26" x14ac:dyDescent="0.2">
      <c r="A37" s="3" t="s">
        <v>341</v>
      </c>
      <c r="B37" s="3" t="s">
        <v>297</v>
      </c>
      <c r="C37" s="3" t="s">
        <v>282</v>
      </c>
      <c r="D37" s="3" t="s">
        <v>299</v>
      </c>
      <c r="E37" s="3" t="s">
        <v>300</v>
      </c>
      <c r="F37" s="25" t="s">
        <v>298</v>
      </c>
      <c r="G37" s="3" t="s">
        <v>324</v>
      </c>
      <c r="H37" s="17">
        <v>4</v>
      </c>
      <c r="I37" s="2"/>
      <c r="J37" s="2"/>
      <c r="K37" s="2"/>
      <c r="L37" s="2"/>
      <c r="M37" s="2"/>
      <c r="N37" s="2"/>
      <c r="O37" s="2"/>
      <c r="P37" s="2"/>
      <c r="Q37" s="2"/>
      <c r="R37" s="2"/>
      <c r="S37" s="2"/>
      <c r="T37" s="2"/>
      <c r="U37" s="2"/>
      <c r="V37" s="2"/>
      <c r="W37" s="2"/>
      <c r="X37" s="2"/>
      <c r="Y37" s="2"/>
      <c r="Z37" s="2"/>
    </row>
    <row r="38" spans="1:26" x14ac:dyDescent="0.2">
      <c r="A38" s="3" t="s">
        <v>342</v>
      </c>
      <c r="B38" s="2" t="s">
        <v>305</v>
      </c>
      <c r="C38" s="3" t="s">
        <v>284</v>
      </c>
      <c r="D38" s="3" t="s">
        <v>306</v>
      </c>
      <c r="E38" s="3" t="s">
        <v>76</v>
      </c>
      <c r="F38" s="25" t="s">
        <v>308</v>
      </c>
      <c r="G38" s="3" t="s">
        <v>324</v>
      </c>
      <c r="H38" s="17">
        <v>3</v>
      </c>
      <c r="I38" s="2"/>
      <c r="J38" s="2"/>
      <c r="K38" s="2"/>
      <c r="L38" s="2"/>
      <c r="M38" s="2"/>
      <c r="N38" s="2"/>
      <c r="O38" s="2"/>
      <c r="P38" s="2"/>
      <c r="Q38" s="2"/>
      <c r="R38" s="2"/>
      <c r="S38" s="2"/>
      <c r="T38" s="2"/>
      <c r="U38" s="2"/>
      <c r="V38" s="2"/>
      <c r="W38" s="2"/>
      <c r="X38" s="2"/>
      <c r="Y38" s="2"/>
      <c r="Z38" s="2"/>
    </row>
    <row r="39" spans="1:26" x14ac:dyDescent="0.2">
      <c r="A39" s="3" t="s">
        <v>343</v>
      </c>
      <c r="B39" s="2" t="s">
        <v>273</v>
      </c>
      <c r="C39" s="2" t="s">
        <v>283</v>
      </c>
      <c r="D39" s="2" t="s">
        <v>241</v>
      </c>
      <c r="E39" s="3" t="s">
        <v>16</v>
      </c>
      <c r="F39" s="25" t="s">
        <v>274</v>
      </c>
      <c r="G39" s="3" t="s">
        <v>324</v>
      </c>
      <c r="H39" s="17">
        <v>4</v>
      </c>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3" t="s">
        <v>324</v>
      </c>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1" t="s">
        <v>63</v>
      </c>
      <c r="B42" s="2"/>
      <c r="C42" s="1" t="s">
        <v>64</v>
      </c>
      <c r="D42" s="3" t="s">
        <v>9</v>
      </c>
      <c r="E42" s="3" t="s">
        <v>9</v>
      </c>
      <c r="F42" s="2"/>
      <c r="G42" s="3" t="s">
        <v>18</v>
      </c>
      <c r="H42" s="2"/>
      <c r="I42" s="2"/>
      <c r="J42" s="2"/>
      <c r="K42" s="2"/>
      <c r="L42" s="2"/>
      <c r="M42" s="2"/>
      <c r="N42" s="2"/>
      <c r="O42" s="2"/>
      <c r="P42" s="2"/>
      <c r="Q42" s="2"/>
      <c r="R42" s="2"/>
      <c r="S42" s="2"/>
      <c r="T42" s="2"/>
      <c r="U42" s="2"/>
      <c r="V42" s="2"/>
      <c r="W42" s="2"/>
      <c r="X42" s="2"/>
      <c r="Y42" s="2"/>
      <c r="Z42" s="2"/>
    </row>
    <row r="43" spans="1:26" x14ac:dyDescent="0.2">
      <c r="A43" s="1" t="s">
        <v>103</v>
      </c>
      <c r="B43" s="2"/>
      <c r="C43" s="3" t="s">
        <v>104</v>
      </c>
      <c r="D43" s="3" t="s">
        <v>9</v>
      </c>
      <c r="E43" s="3" t="s">
        <v>9</v>
      </c>
      <c r="F43" s="2"/>
      <c r="G43" s="3" t="s">
        <v>18</v>
      </c>
      <c r="H43" s="2"/>
      <c r="I43" s="2"/>
      <c r="J43" s="2"/>
      <c r="K43" s="2"/>
      <c r="L43" s="2"/>
      <c r="M43" s="2"/>
      <c r="N43" s="2"/>
      <c r="O43" s="2"/>
      <c r="P43" s="2"/>
      <c r="Q43" s="2"/>
      <c r="R43" s="2"/>
      <c r="S43" s="2"/>
      <c r="T43" s="2"/>
      <c r="U43" s="2"/>
      <c r="V43" s="2"/>
      <c r="W43" s="2"/>
      <c r="X43" s="2"/>
      <c r="Y43" s="2"/>
      <c r="Z43" s="2"/>
    </row>
    <row r="44" spans="1:26" x14ac:dyDescent="0.2">
      <c r="A44" s="3" t="s">
        <v>105</v>
      </c>
      <c r="B44" s="3" t="s">
        <v>106</v>
      </c>
      <c r="C44" s="3" t="s">
        <v>107</v>
      </c>
      <c r="D44" s="3" t="s">
        <v>108</v>
      </c>
      <c r="E44" s="3" t="s">
        <v>316</v>
      </c>
      <c r="F44" s="2"/>
      <c r="G44" s="3" t="s">
        <v>324</v>
      </c>
      <c r="H44" s="17">
        <v>3</v>
      </c>
      <c r="I44" s="2"/>
      <c r="J44" s="2"/>
      <c r="K44" s="2"/>
      <c r="L44" s="2"/>
      <c r="M44" s="2"/>
      <c r="N44" s="2"/>
      <c r="O44" s="2"/>
      <c r="P44" s="2"/>
      <c r="Q44" s="2"/>
      <c r="R44" s="2"/>
      <c r="S44" s="2"/>
      <c r="T44" s="2"/>
      <c r="U44" s="2"/>
      <c r="V44" s="2"/>
      <c r="W44" s="2"/>
      <c r="X44" s="2"/>
      <c r="Y44" s="2"/>
      <c r="Z44" s="2"/>
    </row>
    <row r="45" spans="1:26" x14ac:dyDescent="0.2">
      <c r="A45" s="3" t="s">
        <v>110</v>
      </c>
      <c r="B45" s="3" t="s">
        <v>106</v>
      </c>
      <c r="C45" s="3" t="s">
        <v>111</v>
      </c>
      <c r="D45" s="3" t="s">
        <v>108</v>
      </c>
      <c r="E45" s="3" t="s">
        <v>112</v>
      </c>
      <c r="F45" s="2"/>
      <c r="G45" s="3" t="s">
        <v>324</v>
      </c>
      <c r="H45" s="17">
        <v>2</v>
      </c>
      <c r="I45" s="2"/>
      <c r="J45" s="2"/>
      <c r="K45" s="2"/>
      <c r="L45" s="2"/>
      <c r="M45" s="2"/>
      <c r="N45" s="2"/>
      <c r="O45" s="2"/>
      <c r="P45" s="2"/>
      <c r="Q45" s="2"/>
      <c r="R45" s="2"/>
      <c r="S45" s="2"/>
      <c r="T45" s="2"/>
      <c r="U45" s="2"/>
      <c r="V45" s="2"/>
      <c r="W45" s="2"/>
      <c r="X45" s="2"/>
      <c r="Y45" s="2"/>
      <c r="Z45" s="2"/>
    </row>
    <row r="46" spans="1:26" x14ac:dyDescent="0.2">
      <c r="A46" s="3" t="s">
        <v>113</v>
      </c>
      <c r="B46" s="3" t="s">
        <v>106</v>
      </c>
      <c r="C46" s="3" t="s">
        <v>114</v>
      </c>
      <c r="D46" s="3" t="s">
        <v>108</v>
      </c>
      <c r="E46" s="3" t="s">
        <v>115</v>
      </c>
      <c r="F46" s="2"/>
      <c r="G46" s="3" t="s">
        <v>324</v>
      </c>
      <c r="H46" s="17">
        <v>1</v>
      </c>
      <c r="I46" s="2"/>
      <c r="J46" s="2"/>
      <c r="K46" s="2"/>
      <c r="L46" s="2"/>
      <c r="M46" s="2"/>
      <c r="N46" s="2"/>
      <c r="O46" s="2"/>
      <c r="P46" s="2"/>
      <c r="Q46" s="2"/>
      <c r="R46" s="2"/>
      <c r="S46" s="2"/>
      <c r="T46" s="2"/>
      <c r="U46" s="2"/>
      <c r="V46" s="2"/>
      <c r="W46" s="2"/>
      <c r="X46" s="2"/>
      <c r="Y46" s="2"/>
      <c r="Z46" s="2"/>
    </row>
    <row r="47" spans="1:26" x14ac:dyDescent="0.2">
      <c r="A47" s="3" t="s">
        <v>344</v>
      </c>
      <c r="B47" s="17" t="s">
        <v>245</v>
      </c>
      <c r="C47" s="3" t="s">
        <v>287</v>
      </c>
      <c r="D47" s="17" t="s">
        <v>246</v>
      </c>
      <c r="E47" s="3" t="s">
        <v>316</v>
      </c>
      <c r="F47" s="25" t="s">
        <v>317</v>
      </c>
      <c r="G47" s="3" t="s">
        <v>324</v>
      </c>
      <c r="H47" s="17">
        <v>4</v>
      </c>
      <c r="I47" s="2"/>
      <c r="J47" s="2"/>
      <c r="K47" s="2"/>
      <c r="L47" s="2"/>
      <c r="M47" s="2"/>
      <c r="N47" s="2"/>
      <c r="O47" s="2"/>
      <c r="P47" s="2"/>
      <c r="Q47" s="2"/>
      <c r="R47" s="2"/>
      <c r="S47" s="2"/>
      <c r="T47" s="2"/>
      <c r="U47" s="2"/>
      <c r="V47" s="2"/>
      <c r="W47" s="2"/>
      <c r="X47" s="2"/>
      <c r="Y47" s="2"/>
      <c r="Z47" s="2"/>
    </row>
    <row r="48" spans="1:26" x14ac:dyDescent="0.2">
      <c r="A48" s="3" t="s">
        <v>345</v>
      </c>
      <c r="B48" s="17" t="s">
        <v>310</v>
      </c>
      <c r="C48" s="17" t="s">
        <v>311</v>
      </c>
      <c r="D48" s="17" t="s">
        <v>312</v>
      </c>
      <c r="E48" s="17" t="s">
        <v>76</v>
      </c>
      <c r="F48" s="25" t="s">
        <v>315</v>
      </c>
      <c r="G48" s="3" t="s">
        <v>324</v>
      </c>
      <c r="H48" s="17">
        <v>4</v>
      </c>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1" t="s">
        <v>65</v>
      </c>
      <c r="B50" s="2"/>
      <c r="C50" s="3" t="s">
        <v>66</v>
      </c>
      <c r="D50" s="3" t="s">
        <v>9</v>
      </c>
      <c r="E50" s="3" t="s">
        <v>9</v>
      </c>
      <c r="F50" s="2"/>
      <c r="G50" s="3" t="s">
        <v>18</v>
      </c>
      <c r="H50" s="2"/>
      <c r="I50" s="2"/>
      <c r="J50" s="2"/>
      <c r="K50" s="2"/>
      <c r="L50" s="2"/>
      <c r="M50" s="2"/>
      <c r="N50" s="2"/>
      <c r="O50" s="2"/>
      <c r="P50" s="2"/>
      <c r="Q50" s="2"/>
      <c r="R50" s="2"/>
      <c r="S50" s="2"/>
      <c r="T50" s="2"/>
      <c r="U50" s="2"/>
      <c r="V50" s="2"/>
      <c r="W50" s="2"/>
      <c r="X50" s="2"/>
      <c r="Y50" s="2"/>
      <c r="Z50" s="2"/>
    </row>
    <row r="51" spans="1:26" x14ac:dyDescent="0.2">
      <c r="A51" s="3" t="s">
        <v>67</v>
      </c>
      <c r="B51" s="3" t="s">
        <v>68</v>
      </c>
      <c r="C51" s="3" t="s">
        <v>69</v>
      </c>
      <c r="D51" s="3">
        <v>2017</v>
      </c>
      <c r="E51" s="3" t="s">
        <v>70</v>
      </c>
      <c r="F51" s="24" t="s">
        <v>71</v>
      </c>
      <c r="G51" s="3" t="s">
        <v>324</v>
      </c>
      <c r="H51" s="17">
        <v>4</v>
      </c>
      <c r="I51" s="2"/>
      <c r="J51" s="2"/>
      <c r="K51" s="2"/>
      <c r="L51" s="2"/>
      <c r="M51" s="2"/>
      <c r="N51" s="2"/>
      <c r="O51" s="2"/>
      <c r="P51" s="2"/>
      <c r="Q51" s="2"/>
      <c r="R51" s="2"/>
      <c r="S51" s="2"/>
      <c r="T51" s="2"/>
      <c r="U51" s="2"/>
      <c r="V51" s="2"/>
      <c r="W51" s="2"/>
      <c r="X51" s="2"/>
      <c r="Y51" s="2"/>
      <c r="Z51" s="2"/>
    </row>
    <row r="52" spans="1:26" x14ac:dyDescent="0.2">
      <c r="A52" s="3" t="s">
        <v>72</v>
      </c>
      <c r="B52" s="3" t="s">
        <v>73</v>
      </c>
      <c r="C52" s="3" t="s">
        <v>74</v>
      </c>
      <c r="D52" s="3" t="s">
        <v>75</v>
      </c>
      <c r="E52" s="3" t="s">
        <v>76</v>
      </c>
      <c r="F52" s="24" t="s">
        <v>77</v>
      </c>
      <c r="G52" s="3" t="s">
        <v>324</v>
      </c>
      <c r="H52" s="17">
        <v>4</v>
      </c>
      <c r="I52" s="2"/>
      <c r="J52" s="2"/>
      <c r="K52" s="2"/>
      <c r="L52" s="2"/>
      <c r="M52" s="2"/>
      <c r="N52" s="2"/>
      <c r="O52" s="2"/>
      <c r="P52" s="2"/>
      <c r="Q52" s="2"/>
      <c r="R52" s="2"/>
      <c r="S52" s="2"/>
      <c r="T52" s="2"/>
      <c r="U52" s="2"/>
      <c r="V52" s="2"/>
      <c r="W52" s="2"/>
      <c r="X52" s="2"/>
      <c r="Y52" s="2"/>
      <c r="Z52" s="2"/>
    </row>
    <row r="53" spans="1:26" x14ac:dyDescent="0.2">
      <c r="A53" s="3" t="s">
        <v>78</v>
      </c>
      <c r="B53" s="3" t="s">
        <v>79</v>
      </c>
      <c r="C53" s="3" t="s">
        <v>80</v>
      </c>
      <c r="D53" s="3" t="s">
        <v>81</v>
      </c>
      <c r="E53" s="3" t="s">
        <v>76</v>
      </c>
      <c r="F53" s="24" t="s">
        <v>82</v>
      </c>
      <c r="G53" s="3" t="s">
        <v>324</v>
      </c>
      <c r="H53" s="17">
        <v>3</v>
      </c>
      <c r="I53" s="2"/>
      <c r="J53" s="2"/>
      <c r="K53" s="2"/>
      <c r="L53" s="2"/>
      <c r="M53" s="2"/>
      <c r="N53" s="2"/>
      <c r="O53" s="2"/>
      <c r="P53" s="2"/>
      <c r="Q53" s="2"/>
      <c r="R53" s="2"/>
      <c r="S53" s="2"/>
      <c r="T53" s="2"/>
      <c r="U53" s="2"/>
      <c r="V53" s="2"/>
      <c r="W53" s="2"/>
      <c r="X53" s="2"/>
      <c r="Y53" s="2"/>
      <c r="Z53" s="2"/>
    </row>
    <row r="54" spans="1:26" x14ac:dyDescent="0.2">
      <c r="A54" s="3" t="s">
        <v>83</v>
      </c>
      <c r="B54" s="3" t="s">
        <v>84</v>
      </c>
      <c r="C54" s="3" t="s">
        <v>85</v>
      </c>
      <c r="D54" s="3" t="s">
        <v>86</v>
      </c>
      <c r="E54" s="3" t="s">
        <v>76</v>
      </c>
      <c r="F54" s="24" t="s">
        <v>87</v>
      </c>
      <c r="G54" s="3" t="s">
        <v>324</v>
      </c>
      <c r="H54" s="17">
        <v>4</v>
      </c>
      <c r="I54" s="2"/>
      <c r="J54" s="2"/>
      <c r="K54" s="2"/>
      <c r="L54" s="2"/>
      <c r="M54" s="2"/>
      <c r="N54" s="2"/>
      <c r="O54" s="2"/>
      <c r="P54" s="2"/>
      <c r="Q54" s="2"/>
      <c r="R54" s="2"/>
      <c r="S54" s="2"/>
      <c r="T54" s="2"/>
      <c r="U54" s="2"/>
      <c r="V54" s="2"/>
      <c r="W54" s="2"/>
      <c r="X54" s="2"/>
      <c r="Y54" s="2"/>
      <c r="Z54" s="2"/>
    </row>
    <row r="55" spans="1:26" x14ac:dyDescent="0.2">
      <c r="A55" s="3" t="s">
        <v>88</v>
      </c>
      <c r="B55" s="3" t="s">
        <v>89</v>
      </c>
      <c r="C55" s="3" t="s">
        <v>90</v>
      </c>
      <c r="D55" s="3" t="s">
        <v>81</v>
      </c>
      <c r="E55" s="3" t="s">
        <v>316</v>
      </c>
      <c r="F55" s="3" t="s">
        <v>92</v>
      </c>
      <c r="G55" s="3" t="s">
        <v>324</v>
      </c>
      <c r="H55" s="17">
        <v>4</v>
      </c>
      <c r="I55" s="2"/>
      <c r="J55" s="2"/>
      <c r="K55" s="2"/>
      <c r="L55" s="2"/>
      <c r="M55" s="2"/>
      <c r="N55" s="2"/>
      <c r="O55" s="2"/>
      <c r="P55" s="2"/>
      <c r="Q55" s="2"/>
      <c r="R55" s="2"/>
      <c r="S55" s="2"/>
      <c r="T55" s="2"/>
      <c r="U55" s="2"/>
      <c r="V55" s="2"/>
      <c r="W55" s="2"/>
      <c r="X55" s="2"/>
      <c r="Y55" s="2"/>
      <c r="Z55" s="2"/>
    </row>
    <row r="56" spans="1:26" x14ac:dyDescent="0.2">
      <c r="A56" s="3" t="s">
        <v>93</v>
      </c>
      <c r="B56" s="3" t="s">
        <v>94</v>
      </c>
      <c r="C56" s="3" t="s">
        <v>95</v>
      </c>
      <c r="D56" s="3" t="s">
        <v>96</v>
      </c>
      <c r="E56" s="3" t="s">
        <v>316</v>
      </c>
      <c r="F56" s="24" t="s">
        <v>97</v>
      </c>
      <c r="G56" s="3" t="s">
        <v>324</v>
      </c>
      <c r="H56" s="17">
        <v>4</v>
      </c>
      <c r="I56" s="2"/>
      <c r="J56" s="2"/>
      <c r="K56" s="2"/>
      <c r="L56" s="2"/>
      <c r="M56" s="2"/>
      <c r="N56" s="2"/>
      <c r="O56" s="2"/>
      <c r="P56" s="2"/>
      <c r="Q56" s="2"/>
      <c r="R56" s="2"/>
      <c r="S56" s="2"/>
      <c r="T56" s="2"/>
      <c r="U56" s="2"/>
      <c r="V56" s="2"/>
      <c r="W56" s="2"/>
      <c r="X56" s="2"/>
      <c r="Y56" s="2"/>
      <c r="Z56" s="2"/>
    </row>
    <row r="57" spans="1:26" x14ac:dyDescent="0.2">
      <c r="A57" s="3" t="s">
        <v>98</v>
      </c>
      <c r="B57" s="3" t="s">
        <v>99</v>
      </c>
      <c r="C57" s="3" t="s">
        <v>100</v>
      </c>
      <c r="D57" s="3" t="s">
        <v>101</v>
      </c>
      <c r="E57" s="3" t="s">
        <v>25</v>
      </c>
      <c r="F57" s="3" t="s">
        <v>330</v>
      </c>
      <c r="G57" s="3" t="s">
        <v>324</v>
      </c>
      <c r="H57" s="17">
        <v>4</v>
      </c>
      <c r="I57" s="2"/>
      <c r="J57" s="2"/>
      <c r="K57" s="2"/>
      <c r="L57" s="2"/>
      <c r="M57" s="2"/>
      <c r="N57" s="2"/>
      <c r="O57" s="2"/>
      <c r="P57" s="2"/>
      <c r="Q57" s="2"/>
      <c r="R57" s="2"/>
      <c r="S57" s="2"/>
      <c r="T57" s="2"/>
      <c r="U57" s="2"/>
      <c r="V57" s="2"/>
      <c r="W57" s="2"/>
      <c r="X57" s="2"/>
      <c r="Y57" s="2"/>
      <c r="Z57" s="2"/>
    </row>
    <row r="58" spans="1:26" x14ac:dyDescent="0.2">
      <c r="A58" s="3" t="s">
        <v>346</v>
      </c>
      <c r="B58" s="3" t="s">
        <v>219</v>
      </c>
      <c r="C58" s="3" t="s">
        <v>347</v>
      </c>
      <c r="D58" s="3" t="s">
        <v>301</v>
      </c>
      <c r="E58" s="3" t="s">
        <v>76</v>
      </c>
      <c r="F58" s="25" t="s">
        <v>302</v>
      </c>
      <c r="G58" s="3" t="s">
        <v>324</v>
      </c>
      <c r="H58" s="17">
        <v>5</v>
      </c>
      <c r="I58" s="2"/>
      <c r="J58" s="2"/>
      <c r="K58" s="2"/>
      <c r="L58" s="2"/>
      <c r="M58" s="2"/>
      <c r="N58" s="2"/>
      <c r="O58" s="2"/>
      <c r="P58" s="2"/>
      <c r="Q58" s="2"/>
      <c r="R58" s="2"/>
      <c r="S58" s="2"/>
      <c r="T58" s="2"/>
      <c r="U58" s="2"/>
      <c r="V58" s="2"/>
      <c r="W58" s="2"/>
      <c r="X58" s="2"/>
      <c r="Y58" s="2"/>
      <c r="Z58" s="2"/>
    </row>
    <row r="59" spans="1:26" x14ac:dyDescent="0.2">
      <c r="A59" s="3" t="s">
        <v>349</v>
      </c>
      <c r="B59" s="3" t="s">
        <v>303</v>
      </c>
      <c r="C59" s="3" t="s">
        <v>286</v>
      </c>
      <c r="D59" s="3" t="s">
        <v>236</v>
      </c>
      <c r="E59" s="3" t="s">
        <v>316</v>
      </c>
      <c r="F59" s="24" t="s">
        <v>251</v>
      </c>
      <c r="G59" s="3" t="s">
        <v>324</v>
      </c>
      <c r="H59" s="17">
        <v>2</v>
      </c>
      <c r="I59" s="2"/>
      <c r="J59" s="2"/>
      <c r="K59" s="2"/>
      <c r="L59" s="2"/>
      <c r="M59" s="2"/>
      <c r="N59" s="2"/>
      <c r="O59" s="2"/>
      <c r="P59" s="2"/>
      <c r="Q59" s="2"/>
      <c r="R59" s="2"/>
      <c r="S59" s="2"/>
      <c r="T59" s="2"/>
      <c r="U59" s="2"/>
      <c r="V59" s="2"/>
      <c r="W59" s="2"/>
      <c r="X59" s="2"/>
      <c r="Y59" s="2"/>
      <c r="Z59" s="2"/>
    </row>
    <row r="60" spans="1:26" x14ac:dyDescent="0.2">
      <c r="A60" s="3" t="s">
        <v>350</v>
      </c>
      <c r="B60" s="3" t="s">
        <v>303</v>
      </c>
      <c r="C60" s="3" t="s">
        <v>288</v>
      </c>
      <c r="D60" s="3" t="s">
        <v>236</v>
      </c>
      <c r="E60" s="3" t="s">
        <v>316</v>
      </c>
      <c r="F60" s="25" t="s">
        <v>251</v>
      </c>
      <c r="G60" s="3" t="s">
        <v>324</v>
      </c>
      <c r="H60" s="17">
        <v>3</v>
      </c>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3" t="s">
        <v>324</v>
      </c>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858CB-F802-AB41-847D-4DEC55D47F23}">
  <dimension ref="A1:Z1009"/>
  <sheetViews>
    <sheetView workbookViewId="0">
      <selection activeCell="A40" sqref="A40"/>
    </sheetView>
  </sheetViews>
  <sheetFormatPr baseColWidth="10" defaultRowHeight="16" x14ac:dyDescent="0.2"/>
  <cols>
    <col min="1" max="1" width="65.83203125" bestFit="1" customWidth="1"/>
    <col min="2" max="2" width="32.33203125" customWidth="1"/>
    <col min="3" max="3" width="31.83203125" customWidth="1"/>
    <col min="4" max="4" width="25.1640625" bestFit="1" customWidth="1"/>
    <col min="5" max="5" width="30" bestFit="1" customWidth="1"/>
    <col min="6" max="6" width="10.33203125" customWidth="1"/>
  </cols>
  <sheetData>
    <row r="1" spans="1:26" x14ac:dyDescent="0.2">
      <c r="A1" s="1" t="s">
        <v>322</v>
      </c>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1" t="s">
        <v>0</v>
      </c>
      <c r="B4" s="1" t="s">
        <v>1</v>
      </c>
      <c r="C4" s="1" t="s">
        <v>2</v>
      </c>
      <c r="D4" s="1" t="s">
        <v>3</v>
      </c>
      <c r="E4" s="1" t="s">
        <v>4</v>
      </c>
      <c r="F4" s="1" t="s">
        <v>5</v>
      </c>
      <c r="G4" s="1" t="s">
        <v>323</v>
      </c>
      <c r="H4" s="2"/>
      <c r="I4" s="2"/>
      <c r="J4" s="2"/>
      <c r="K4" s="2"/>
      <c r="L4" s="2"/>
      <c r="M4" s="2"/>
      <c r="N4" s="2"/>
      <c r="O4" s="2"/>
      <c r="P4" s="2"/>
      <c r="Q4" s="2"/>
      <c r="R4" s="2"/>
      <c r="S4" s="2"/>
      <c r="T4" s="2"/>
      <c r="U4" s="2"/>
      <c r="V4" s="2"/>
      <c r="W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1" t="s">
        <v>7</v>
      </c>
      <c r="B6" s="2"/>
      <c r="C6" s="1" t="s">
        <v>8</v>
      </c>
      <c r="D6" s="3" t="s">
        <v>9</v>
      </c>
      <c r="E6" s="3" t="s">
        <v>9</v>
      </c>
      <c r="F6" s="2"/>
      <c r="G6" s="3" t="s">
        <v>18</v>
      </c>
      <c r="H6" s="2"/>
      <c r="I6" s="2"/>
      <c r="J6" s="2"/>
      <c r="K6" s="2"/>
      <c r="L6" s="2"/>
      <c r="M6" s="2"/>
      <c r="N6" s="2"/>
      <c r="O6" s="2"/>
      <c r="P6" s="2"/>
      <c r="Q6" s="2"/>
      <c r="R6" s="2"/>
      <c r="S6" s="2"/>
      <c r="T6" s="2"/>
      <c r="U6" s="2"/>
      <c r="V6" s="2"/>
      <c r="W6" s="2"/>
      <c r="X6" s="2"/>
      <c r="Y6" s="2"/>
      <c r="Z6" s="2"/>
    </row>
    <row r="7" spans="1:26" x14ac:dyDescent="0.2">
      <c r="A7" s="1" t="s">
        <v>10</v>
      </c>
      <c r="B7" s="2"/>
      <c r="C7" s="3" t="s">
        <v>11</v>
      </c>
      <c r="D7" s="3" t="s">
        <v>9</v>
      </c>
      <c r="E7" s="3" t="s">
        <v>9</v>
      </c>
      <c r="F7" s="2"/>
      <c r="G7" s="3" t="s">
        <v>18</v>
      </c>
      <c r="H7" s="2"/>
      <c r="I7" s="2"/>
      <c r="J7" s="2"/>
      <c r="K7" s="2"/>
      <c r="L7" s="2"/>
      <c r="M7" s="2"/>
      <c r="N7" s="2"/>
      <c r="O7" s="2"/>
      <c r="P7" s="2"/>
      <c r="Q7" s="2"/>
      <c r="R7" s="2"/>
      <c r="S7" s="2"/>
      <c r="T7" s="2"/>
      <c r="U7" s="2"/>
      <c r="V7" s="2"/>
      <c r="W7" s="2"/>
      <c r="X7" s="2"/>
      <c r="Y7" s="2"/>
      <c r="Z7" s="2"/>
    </row>
    <row r="8" spans="1:26" x14ac:dyDescent="0.2">
      <c r="A8" s="3" t="s">
        <v>12</v>
      </c>
      <c r="B8" s="3" t="s">
        <v>13</v>
      </c>
      <c r="C8" s="3" t="s">
        <v>263</v>
      </c>
      <c r="D8" s="3" t="s">
        <v>15</v>
      </c>
      <c r="E8" s="3" t="s">
        <v>16</v>
      </c>
      <c r="F8" s="24" t="s">
        <v>17</v>
      </c>
      <c r="G8" s="3">
        <v>3</v>
      </c>
      <c r="H8" s="2"/>
      <c r="I8" s="2"/>
      <c r="J8" s="2"/>
      <c r="K8" s="2"/>
      <c r="L8" s="2"/>
      <c r="M8" s="2"/>
      <c r="N8" s="2"/>
      <c r="O8" s="2"/>
      <c r="P8" s="2"/>
      <c r="Q8" s="2"/>
      <c r="R8" s="2"/>
      <c r="S8" s="2"/>
      <c r="T8" s="2"/>
      <c r="U8" s="2"/>
      <c r="V8" s="2"/>
      <c r="W8" s="2"/>
      <c r="X8" s="2"/>
      <c r="Y8" s="2"/>
      <c r="Z8" s="2"/>
    </row>
    <row r="9" spans="1:26" x14ac:dyDescent="0.2">
      <c r="A9" s="3" t="s">
        <v>19</v>
      </c>
      <c r="B9" s="3" t="s">
        <v>13</v>
      </c>
      <c r="C9" s="3" t="s">
        <v>264</v>
      </c>
      <c r="D9" s="3" t="s">
        <v>15</v>
      </c>
      <c r="E9" s="3" t="s">
        <v>16</v>
      </c>
      <c r="F9" s="24" t="s">
        <v>17</v>
      </c>
      <c r="G9" s="3">
        <v>3</v>
      </c>
      <c r="H9" s="2"/>
      <c r="I9" s="2"/>
      <c r="J9" s="2"/>
      <c r="K9" s="2"/>
      <c r="L9" s="2"/>
      <c r="M9" s="2"/>
      <c r="N9" s="2"/>
      <c r="O9" s="2"/>
      <c r="P9" s="2"/>
      <c r="Q9" s="2"/>
      <c r="R9" s="2"/>
      <c r="S9" s="2"/>
      <c r="T9" s="2"/>
      <c r="U9" s="2"/>
      <c r="V9" s="2"/>
      <c r="W9" s="2"/>
      <c r="X9" s="2"/>
      <c r="Y9" s="2"/>
      <c r="Z9" s="2"/>
    </row>
    <row r="10" spans="1:26" x14ac:dyDescent="0.2">
      <c r="A10" s="3" t="s">
        <v>21</v>
      </c>
      <c r="B10" s="3" t="s">
        <v>22</v>
      </c>
      <c r="C10" s="3" t="s">
        <v>262</v>
      </c>
      <c r="D10" s="3" t="s">
        <v>24</v>
      </c>
      <c r="E10" s="3" t="s">
        <v>25</v>
      </c>
      <c r="F10" s="24" t="s">
        <v>26</v>
      </c>
      <c r="G10" s="3">
        <v>4</v>
      </c>
      <c r="H10" s="2"/>
      <c r="I10" s="2"/>
      <c r="J10" s="2"/>
      <c r="K10" s="2"/>
      <c r="L10" s="2"/>
      <c r="M10" s="2"/>
      <c r="N10" s="2"/>
      <c r="O10" s="2"/>
      <c r="P10" s="2"/>
      <c r="Q10" s="2"/>
      <c r="R10" s="2"/>
      <c r="S10" s="2"/>
      <c r="T10" s="2"/>
      <c r="U10" s="2"/>
      <c r="V10" s="2"/>
      <c r="W10" s="2"/>
      <c r="X10" s="2"/>
      <c r="Y10" s="2"/>
      <c r="Z10" s="2"/>
    </row>
    <row r="11" spans="1:26" x14ac:dyDescent="0.2">
      <c r="A11" s="3" t="s">
        <v>33</v>
      </c>
      <c r="B11" s="3" t="s">
        <v>28</v>
      </c>
      <c r="C11" s="3" t="s">
        <v>34</v>
      </c>
      <c r="D11" s="3" t="s">
        <v>30</v>
      </c>
      <c r="E11" s="3" t="s">
        <v>31</v>
      </c>
      <c r="F11" s="3" t="s">
        <v>325</v>
      </c>
      <c r="G11" s="3">
        <v>5</v>
      </c>
      <c r="H11" s="2"/>
      <c r="I11" s="2"/>
      <c r="J11" s="2"/>
      <c r="K11" s="2"/>
      <c r="L11" s="2"/>
      <c r="M11" s="2"/>
      <c r="N11" s="2"/>
      <c r="O11" s="2"/>
      <c r="P11" s="2"/>
      <c r="Q11" s="2"/>
      <c r="R11" s="2"/>
      <c r="S11" s="2"/>
      <c r="T11" s="2"/>
      <c r="U11" s="2"/>
      <c r="V11" s="2"/>
      <c r="W11" s="2"/>
      <c r="X11" s="2"/>
      <c r="Y11" s="2"/>
      <c r="Z11" s="2"/>
    </row>
    <row r="12" spans="1:26" x14ac:dyDescent="0.2">
      <c r="A12" s="3" t="s">
        <v>326</v>
      </c>
      <c r="B12" s="3" t="s">
        <v>13</v>
      </c>
      <c r="C12" s="3" t="s">
        <v>281</v>
      </c>
      <c r="D12" s="3" t="s">
        <v>15</v>
      </c>
      <c r="E12" s="3" t="s">
        <v>16</v>
      </c>
      <c r="F12" s="24" t="s">
        <v>17</v>
      </c>
      <c r="G12" s="3">
        <v>3</v>
      </c>
      <c r="H12" s="2"/>
      <c r="I12" s="2"/>
      <c r="J12" s="2"/>
      <c r="K12" s="2"/>
      <c r="L12" s="2"/>
      <c r="M12" s="2"/>
      <c r="N12" s="2"/>
      <c r="O12" s="2"/>
      <c r="P12" s="2"/>
      <c r="Q12" s="2"/>
      <c r="R12" s="2"/>
      <c r="S12" s="2"/>
      <c r="T12" s="2"/>
      <c r="U12" s="2"/>
      <c r="V12" s="2"/>
      <c r="W12" s="2"/>
      <c r="X12" s="2"/>
      <c r="Y12" s="2"/>
      <c r="Z12" s="2"/>
    </row>
    <row r="13" spans="1:26" x14ac:dyDescent="0.2">
      <c r="A13" s="3" t="s">
        <v>327</v>
      </c>
      <c r="B13" s="3" t="s">
        <v>314</v>
      </c>
      <c r="C13" s="3" t="s">
        <v>261</v>
      </c>
      <c r="D13" s="3" t="s">
        <v>314</v>
      </c>
      <c r="E13" s="3" t="s">
        <v>314</v>
      </c>
      <c r="F13" s="3" t="s">
        <v>314</v>
      </c>
      <c r="G13" s="3">
        <v>5</v>
      </c>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1" t="s">
        <v>36</v>
      </c>
      <c r="B15" s="2"/>
      <c r="C15" s="3" t="s">
        <v>37</v>
      </c>
      <c r="D15" s="3" t="s">
        <v>9</v>
      </c>
      <c r="E15" s="3" t="s">
        <v>9</v>
      </c>
      <c r="F15" s="2"/>
      <c r="G15" s="3" t="s">
        <v>18</v>
      </c>
      <c r="H15" s="2"/>
      <c r="I15" s="2"/>
      <c r="J15" s="2"/>
      <c r="K15" s="2"/>
      <c r="L15" s="2"/>
      <c r="M15" s="2"/>
      <c r="N15" s="2"/>
      <c r="O15" s="2"/>
      <c r="P15" s="2"/>
      <c r="Q15" s="2"/>
      <c r="R15" s="2"/>
      <c r="S15" s="2"/>
      <c r="T15" s="2"/>
      <c r="U15" s="2"/>
      <c r="V15" s="2"/>
      <c r="W15" s="2"/>
      <c r="X15" s="2"/>
      <c r="Y15" s="2"/>
      <c r="Z15" s="2"/>
    </row>
    <row r="16" spans="1:26" x14ac:dyDescent="0.2">
      <c r="A16" s="3" t="s">
        <v>265</v>
      </c>
      <c r="B16" s="3" t="s">
        <v>39</v>
      </c>
      <c r="C16" s="3" t="s">
        <v>40</v>
      </c>
      <c r="D16" s="3" t="s">
        <v>41</v>
      </c>
      <c r="E16" s="3" t="s">
        <v>42</v>
      </c>
      <c r="F16" s="3" t="s">
        <v>328</v>
      </c>
      <c r="G16" s="3">
        <v>3</v>
      </c>
      <c r="H16" s="2"/>
      <c r="I16" s="2"/>
      <c r="J16" s="2"/>
      <c r="K16" s="2"/>
      <c r="L16" s="2"/>
      <c r="M16" s="2"/>
      <c r="N16" s="2"/>
      <c r="O16" s="2"/>
      <c r="P16" s="2"/>
      <c r="Q16" s="2"/>
      <c r="R16" s="2"/>
      <c r="S16" s="2"/>
      <c r="T16" s="2"/>
      <c r="U16" s="2"/>
      <c r="V16" s="2"/>
      <c r="W16" s="2"/>
      <c r="X16" s="2"/>
      <c r="Y16" s="2"/>
      <c r="Z16" s="2"/>
    </row>
    <row r="17" spans="1:26" x14ac:dyDescent="0.2">
      <c r="A17" s="3" t="s">
        <v>44</v>
      </c>
      <c r="B17" s="3" t="s">
        <v>45</v>
      </c>
      <c r="C17" s="3" t="s">
        <v>46</v>
      </c>
      <c r="D17" s="3" t="s">
        <v>47</v>
      </c>
      <c r="E17" s="3" t="s">
        <v>48</v>
      </c>
      <c r="F17" s="3" t="s">
        <v>329</v>
      </c>
      <c r="G17" s="3">
        <v>5</v>
      </c>
      <c r="H17" s="2"/>
      <c r="I17" s="2"/>
      <c r="J17" s="2"/>
      <c r="K17" s="2"/>
      <c r="L17" s="2"/>
      <c r="M17" s="2"/>
      <c r="N17" s="2"/>
      <c r="O17" s="2"/>
      <c r="P17" s="2"/>
      <c r="Q17" s="2"/>
      <c r="R17" s="2"/>
      <c r="S17" s="2"/>
      <c r="T17" s="2"/>
      <c r="U17" s="2"/>
      <c r="V17" s="2"/>
      <c r="W17" s="2"/>
      <c r="X17" s="2"/>
      <c r="Y17" s="2"/>
      <c r="Z17" s="2"/>
    </row>
    <row r="18" spans="1:26" x14ac:dyDescent="0.2">
      <c r="A18" s="3" t="s">
        <v>50</v>
      </c>
      <c r="B18" s="3" t="s">
        <v>51</v>
      </c>
      <c r="C18" s="3" t="s">
        <v>52</v>
      </c>
      <c r="D18" s="3" t="s">
        <v>53</v>
      </c>
      <c r="E18" s="3" t="s">
        <v>48</v>
      </c>
      <c r="F18" s="3" t="s">
        <v>54</v>
      </c>
      <c r="G18" s="3">
        <v>5</v>
      </c>
      <c r="H18" s="2"/>
      <c r="I18" s="2"/>
      <c r="J18" s="2"/>
      <c r="K18" s="2"/>
      <c r="L18" s="2"/>
      <c r="M18" s="2"/>
      <c r="N18" s="2"/>
      <c r="O18" s="2"/>
      <c r="P18" s="2"/>
      <c r="Q18" s="2"/>
      <c r="R18" s="2"/>
      <c r="S18" s="2"/>
      <c r="T18" s="2"/>
      <c r="U18" s="2"/>
      <c r="V18" s="2"/>
      <c r="W18" s="2"/>
      <c r="X18" s="2"/>
      <c r="Y18" s="2"/>
      <c r="Z18" s="2"/>
    </row>
    <row r="19" spans="1:26" x14ac:dyDescent="0.2">
      <c r="A19" s="3" t="s">
        <v>266</v>
      </c>
      <c r="B19" s="3" t="s">
        <v>56</v>
      </c>
      <c r="C19" s="3" t="s">
        <v>57</v>
      </c>
      <c r="D19" s="3" t="s">
        <v>58</v>
      </c>
      <c r="E19" s="3" t="s">
        <v>59</v>
      </c>
      <c r="F19" s="3" t="s">
        <v>60</v>
      </c>
      <c r="G19" s="3">
        <v>3</v>
      </c>
      <c r="H19" s="2"/>
      <c r="I19" s="2"/>
      <c r="J19" s="2"/>
      <c r="K19" s="2"/>
      <c r="L19" s="2"/>
      <c r="M19" s="2"/>
      <c r="N19" s="2"/>
      <c r="O19" s="2"/>
      <c r="P19" s="2"/>
      <c r="Q19" s="2"/>
      <c r="R19" s="2"/>
      <c r="S19" s="2"/>
      <c r="T19" s="2"/>
      <c r="U19" s="2"/>
      <c r="V19" s="2"/>
      <c r="W19" s="2"/>
      <c r="X19" s="2"/>
      <c r="Y19" s="2"/>
      <c r="Z19" s="2"/>
    </row>
    <row r="20" spans="1:26" x14ac:dyDescent="0.2">
      <c r="A20" s="3" t="s">
        <v>61</v>
      </c>
      <c r="B20" s="3" t="s">
        <v>51</v>
      </c>
      <c r="C20" s="3" t="s">
        <v>62</v>
      </c>
      <c r="D20" s="3" t="s">
        <v>53</v>
      </c>
      <c r="E20" s="3" t="s">
        <v>48</v>
      </c>
      <c r="F20" s="3" t="s">
        <v>54</v>
      </c>
      <c r="G20" s="3">
        <v>3</v>
      </c>
      <c r="H20" s="2"/>
      <c r="I20" s="2"/>
      <c r="J20" s="2"/>
      <c r="K20" s="2"/>
      <c r="L20" s="2"/>
      <c r="M20" s="2"/>
      <c r="N20" s="2"/>
      <c r="O20" s="2"/>
      <c r="P20" s="2"/>
      <c r="Q20" s="2"/>
      <c r="R20" s="2"/>
      <c r="S20" s="2"/>
      <c r="T20" s="2"/>
      <c r="U20" s="2"/>
      <c r="V20" s="2"/>
      <c r="W20" s="2"/>
      <c r="X20" s="2"/>
      <c r="Y20" s="2"/>
      <c r="Z20" s="2"/>
    </row>
    <row r="21" spans="1:26" x14ac:dyDescent="0.2">
      <c r="A21" s="3" t="s">
        <v>254</v>
      </c>
      <c r="B21" s="3" t="s">
        <v>99</v>
      </c>
      <c r="C21" s="3" t="s">
        <v>129</v>
      </c>
      <c r="D21" s="3" t="s">
        <v>101</v>
      </c>
      <c r="E21" s="3" t="s">
        <v>25</v>
      </c>
      <c r="F21" s="3" t="s">
        <v>330</v>
      </c>
      <c r="G21" s="3">
        <v>5</v>
      </c>
      <c r="H21" s="2"/>
      <c r="I21" s="2"/>
      <c r="J21" s="2"/>
      <c r="K21" s="2"/>
      <c r="L21" s="2"/>
      <c r="M21" s="2"/>
      <c r="N21" s="2"/>
      <c r="O21" s="2"/>
      <c r="P21" s="2"/>
      <c r="Q21" s="2"/>
      <c r="R21" s="2"/>
      <c r="S21" s="2"/>
      <c r="T21" s="2"/>
      <c r="U21" s="2"/>
      <c r="V21" s="2"/>
      <c r="W21" s="2"/>
      <c r="X21" s="2"/>
      <c r="Y21" s="2"/>
      <c r="Z21" s="2"/>
    </row>
    <row r="22" spans="1:26" x14ac:dyDescent="0.2">
      <c r="A22" s="3" t="s">
        <v>130</v>
      </c>
      <c r="B22" s="3" t="s">
        <v>99</v>
      </c>
      <c r="C22" s="3" t="s">
        <v>131</v>
      </c>
      <c r="D22" s="3" t="s">
        <v>101</v>
      </c>
      <c r="E22" s="3" t="s">
        <v>25</v>
      </c>
      <c r="F22" s="3" t="s">
        <v>330</v>
      </c>
      <c r="G22" s="3">
        <v>3</v>
      </c>
      <c r="H22" s="17" t="s">
        <v>351</v>
      </c>
      <c r="I22" s="2"/>
      <c r="J22" s="2"/>
      <c r="K22" s="2"/>
      <c r="L22" s="2"/>
      <c r="M22" s="2"/>
      <c r="N22" s="2"/>
      <c r="O22" s="2"/>
      <c r="P22" s="2"/>
      <c r="Q22" s="2"/>
      <c r="R22" s="2"/>
      <c r="S22" s="2"/>
      <c r="T22" s="2"/>
      <c r="U22" s="2"/>
      <c r="V22" s="2"/>
      <c r="W22" s="2"/>
      <c r="X22" s="2"/>
      <c r="Y22" s="2"/>
      <c r="Z22" s="2"/>
    </row>
    <row r="23" spans="1:26" x14ac:dyDescent="0.2">
      <c r="A23" s="3" t="s">
        <v>267</v>
      </c>
      <c r="B23" s="3" t="s">
        <v>28</v>
      </c>
      <c r="C23" s="3" t="s">
        <v>29</v>
      </c>
      <c r="D23" s="3" t="s">
        <v>30</v>
      </c>
      <c r="E23" s="3" t="s">
        <v>31</v>
      </c>
      <c r="F23" s="3" t="s">
        <v>325</v>
      </c>
      <c r="G23" s="3">
        <v>4</v>
      </c>
      <c r="H23" s="2"/>
      <c r="I23" s="2"/>
      <c r="J23" s="2"/>
      <c r="K23" s="2"/>
      <c r="L23" s="2"/>
      <c r="M23" s="2"/>
      <c r="N23" s="2"/>
      <c r="O23" s="2"/>
      <c r="P23" s="2"/>
      <c r="Q23" s="2"/>
      <c r="R23" s="2"/>
      <c r="S23" s="2"/>
      <c r="T23" s="2"/>
      <c r="U23" s="2"/>
      <c r="V23" s="2"/>
      <c r="W23" s="2"/>
      <c r="X23" s="2"/>
      <c r="Y23" s="2"/>
      <c r="Z23" s="2"/>
    </row>
    <row r="24" spans="1:26" x14ac:dyDescent="0.2">
      <c r="A24" s="3" t="s">
        <v>332</v>
      </c>
      <c r="B24" s="3" t="s">
        <v>51</v>
      </c>
      <c r="C24" s="3" t="s">
        <v>272</v>
      </c>
      <c r="D24" s="3" t="s">
        <v>53</v>
      </c>
      <c r="E24" s="3" t="s">
        <v>48</v>
      </c>
      <c r="F24" s="3" t="s">
        <v>54</v>
      </c>
      <c r="G24" s="3">
        <v>3</v>
      </c>
      <c r="H24" s="2"/>
      <c r="I24" s="2"/>
      <c r="J24" s="2"/>
      <c r="K24" s="2"/>
      <c r="L24" s="2"/>
      <c r="M24" s="2"/>
      <c r="N24" s="2"/>
      <c r="O24" s="2"/>
      <c r="P24" s="2"/>
      <c r="Q24" s="2"/>
      <c r="R24" s="2"/>
      <c r="S24" s="2"/>
      <c r="T24" s="2"/>
      <c r="U24" s="2"/>
      <c r="V24" s="2"/>
      <c r="W24" s="2"/>
      <c r="X24" s="2"/>
      <c r="Y24" s="2"/>
      <c r="Z24" s="2"/>
    </row>
    <row r="25" spans="1:26" x14ac:dyDescent="0.2">
      <c r="A25" s="3" t="s">
        <v>334</v>
      </c>
      <c r="B25" s="3" t="s">
        <v>335</v>
      </c>
      <c r="C25" s="3" t="s">
        <v>289</v>
      </c>
      <c r="D25" s="3" t="s">
        <v>270</v>
      </c>
      <c r="E25" s="3" t="s">
        <v>31</v>
      </c>
      <c r="F25" s="24" t="s">
        <v>271</v>
      </c>
      <c r="G25" s="3">
        <v>4</v>
      </c>
      <c r="H25" s="2"/>
      <c r="I25" s="2"/>
      <c r="J25" s="2"/>
      <c r="K25" s="2"/>
      <c r="L25" s="2"/>
      <c r="M25" s="2"/>
      <c r="N25" s="2"/>
      <c r="O25" s="2"/>
      <c r="P25" s="2"/>
      <c r="Q25" s="2"/>
      <c r="R25" s="2"/>
      <c r="S25" s="2"/>
      <c r="T25" s="2"/>
      <c r="U25" s="2"/>
      <c r="V25" s="2"/>
      <c r="W25" s="2"/>
      <c r="X25" s="2"/>
      <c r="Y25" s="2"/>
      <c r="Z25" s="2"/>
    </row>
    <row r="26" spans="1:26" x14ac:dyDescent="0.2">
      <c r="A26" s="3" t="s">
        <v>336</v>
      </c>
      <c r="B26" s="3" t="s">
        <v>51</v>
      </c>
      <c r="C26" s="3" t="s">
        <v>290</v>
      </c>
      <c r="D26" s="3" t="s">
        <v>53</v>
      </c>
      <c r="E26" s="3" t="s">
        <v>48</v>
      </c>
      <c r="F26" s="3" t="s">
        <v>54</v>
      </c>
      <c r="G26" s="3">
        <v>3</v>
      </c>
      <c r="H26" s="17" t="s">
        <v>352</v>
      </c>
      <c r="I26" s="2"/>
      <c r="J26" s="2"/>
      <c r="K26" s="2"/>
      <c r="L26" s="2"/>
      <c r="M26" s="2"/>
      <c r="N26" s="2"/>
      <c r="O26" s="2"/>
      <c r="P26" s="2"/>
      <c r="Q26" s="2"/>
      <c r="R26" s="2"/>
      <c r="S26" s="2"/>
      <c r="T26" s="2"/>
      <c r="U26" s="2"/>
      <c r="V26" s="2"/>
      <c r="W26" s="2"/>
      <c r="X26" s="2"/>
      <c r="Y26" s="2"/>
      <c r="Z26" s="2"/>
    </row>
    <row r="27" spans="1:26" x14ac:dyDescent="0.2">
      <c r="A27" s="3" t="s">
        <v>337</v>
      </c>
      <c r="B27" s="3" t="s">
        <v>51</v>
      </c>
      <c r="C27" s="3" t="s">
        <v>292</v>
      </c>
      <c r="D27" s="3" t="s">
        <v>53</v>
      </c>
      <c r="E27" s="3" t="s">
        <v>48</v>
      </c>
      <c r="F27" s="3" t="s">
        <v>54</v>
      </c>
      <c r="G27" s="3">
        <v>4</v>
      </c>
      <c r="H27" s="2"/>
      <c r="I27" s="2"/>
      <c r="J27" s="2"/>
      <c r="K27" s="2"/>
      <c r="L27" s="2"/>
      <c r="M27" s="2"/>
      <c r="N27" s="2"/>
      <c r="O27" s="2"/>
      <c r="P27" s="2"/>
      <c r="Q27" s="2"/>
      <c r="R27" s="2"/>
      <c r="S27" s="2"/>
      <c r="T27" s="2"/>
      <c r="U27" s="2"/>
      <c r="V27" s="2"/>
      <c r="W27" s="2"/>
      <c r="X27" s="2"/>
      <c r="Y27" s="2"/>
      <c r="Z27" s="2"/>
    </row>
    <row r="28" spans="1:26" x14ac:dyDescent="0.2">
      <c r="A28" s="3" t="s">
        <v>338</v>
      </c>
      <c r="B28" s="3" t="s">
        <v>51</v>
      </c>
      <c r="C28" s="3" t="s">
        <v>291</v>
      </c>
      <c r="D28" s="3" t="s">
        <v>53</v>
      </c>
      <c r="E28" s="3" t="s">
        <v>48</v>
      </c>
      <c r="F28" s="3" t="s">
        <v>54</v>
      </c>
      <c r="G28" s="3">
        <v>4</v>
      </c>
      <c r="H28" s="2"/>
      <c r="I28" s="2"/>
      <c r="J28" s="2"/>
      <c r="K28" s="2"/>
      <c r="L28" s="2"/>
      <c r="M28" s="2"/>
      <c r="N28" s="2"/>
      <c r="O28" s="2"/>
      <c r="P28" s="2"/>
      <c r="Q28" s="2"/>
      <c r="R28" s="2"/>
      <c r="S28" s="2"/>
      <c r="T28" s="2"/>
      <c r="U28" s="2"/>
      <c r="V28" s="2"/>
      <c r="W28" s="2"/>
      <c r="X28" s="2"/>
      <c r="Y28" s="2"/>
      <c r="Z28" s="2"/>
    </row>
    <row r="29" spans="1:26" x14ac:dyDescent="0.2">
      <c r="A29" s="3" t="s">
        <v>268</v>
      </c>
      <c r="B29" s="2"/>
      <c r="C29" s="2"/>
      <c r="D29" s="2"/>
      <c r="E29" s="2"/>
      <c r="F29" s="2"/>
      <c r="G29" s="3" t="s">
        <v>324</v>
      </c>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1" t="s">
        <v>139</v>
      </c>
      <c r="B31" s="2"/>
      <c r="C31" s="3" t="s">
        <v>116</v>
      </c>
      <c r="D31" s="3" t="s">
        <v>9</v>
      </c>
      <c r="E31" s="3" t="s">
        <v>9</v>
      </c>
      <c r="F31" s="2"/>
      <c r="G31" s="3" t="s">
        <v>18</v>
      </c>
      <c r="H31" s="2"/>
      <c r="I31" s="2"/>
      <c r="J31" s="2"/>
      <c r="K31" s="2"/>
      <c r="L31" s="2"/>
      <c r="M31" s="2"/>
      <c r="N31" s="2"/>
      <c r="O31" s="2"/>
      <c r="P31" s="2"/>
      <c r="Q31" s="2"/>
      <c r="R31" s="2"/>
      <c r="S31" s="2"/>
      <c r="T31" s="2"/>
      <c r="U31" s="2"/>
      <c r="V31" s="2"/>
      <c r="W31" s="2"/>
      <c r="X31" s="2"/>
      <c r="Y31" s="2"/>
      <c r="Z31" s="2"/>
    </row>
    <row r="32" spans="1:26" x14ac:dyDescent="0.2">
      <c r="A32" s="3" t="s">
        <v>117</v>
      </c>
      <c r="B32" s="3" t="s">
        <v>118</v>
      </c>
      <c r="C32" s="3" t="s">
        <v>119</v>
      </c>
      <c r="D32" s="3" t="s">
        <v>120</v>
      </c>
      <c r="E32" s="3" t="s">
        <v>76</v>
      </c>
      <c r="F32" s="24" t="s">
        <v>121</v>
      </c>
      <c r="G32" s="3">
        <v>2</v>
      </c>
      <c r="H32" s="2"/>
      <c r="I32" s="2"/>
      <c r="J32" s="2"/>
      <c r="K32" s="2"/>
      <c r="L32" s="2"/>
      <c r="M32" s="2"/>
      <c r="N32" s="2"/>
      <c r="O32" s="2"/>
      <c r="P32" s="2"/>
      <c r="Q32" s="2"/>
      <c r="R32" s="2"/>
      <c r="S32" s="2"/>
      <c r="T32" s="2"/>
      <c r="U32" s="2"/>
      <c r="V32" s="2"/>
      <c r="W32" s="2"/>
      <c r="X32" s="2"/>
      <c r="Y32" s="2"/>
      <c r="Z32" s="2"/>
    </row>
    <row r="33" spans="1:26" x14ac:dyDescent="0.2">
      <c r="A33" s="3" t="s">
        <v>122</v>
      </c>
      <c r="B33" s="3" t="s">
        <v>99</v>
      </c>
      <c r="C33" s="3" t="s">
        <v>123</v>
      </c>
      <c r="D33" s="3" t="s">
        <v>101</v>
      </c>
      <c r="E33" s="3" t="s">
        <v>25</v>
      </c>
      <c r="F33" s="25" t="s">
        <v>307</v>
      </c>
      <c r="G33" s="3">
        <v>1</v>
      </c>
      <c r="H33" s="2"/>
      <c r="I33" s="2"/>
      <c r="J33" s="2"/>
      <c r="K33" s="2"/>
      <c r="L33" s="2"/>
      <c r="M33" s="2"/>
      <c r="N33" s="2"/>
      <c r="O33" s="2"/>
      <c r="P33" s="2"/>
      <c r="Q33" s="2"/>
      <c r="R33" s="2"/>
      <c r="S33" s="2"/>
      <c r="T33" s="2"/>
      <c r="U33" s="2"/>
      <c r="V33" s="2"/>
      <c r="W33" s="2"/>
      <c r="X33" s="2"/>
      <c r="Y33" s="2"/>
      <c r="Z33" s="2"/>
    </row>
    <row r="34" spans="1:26" x14ac:dyDescent="0.2">
      <c r="A34" s="3" t="s">
        <v>124</v>
      </c>
      <c r="B34" s="3" t="s">
        <v>125</v>
      </c>
      <c r="C34" s="3" t="s">
        <v>126</v>
      </c>
      <c r="D34" s="3" t="s">
        <v>127</v>
      </c>
      <c r="E34" s="3" t="s">
        <v>76</v>
      </c>
      <c r="F34" s="24" t="s">
        <v>121</v>
      </c>
      <c r="G34" s="3">
        <v>5</v>
      </c>
      <c r="H34" s="17" t="s">
        <v>353</v>
      </c>
      <c r="I34" s="2"/>
      <c r="J34" s="2"/>
      <c r="K34" s="2"/>
      <c r="L34" s="2"/>
      <c r="M34" s="2"/>
      <c r="N34" s="2"/>
      <c r="O34" s="2"/>
      <c r="P34" s="2"/>
      <c r="Q34" s="2"/>
      <c r="R34" s="2"/>
      <c r="S34" s="2"/>
      <c r="T34" s="2"/>
      <c r="U34" s="2"/>
      <c r="V34" s="2"/>
      <c r="W34" s="2"/>
      <c r="X34" s="2"/>
      <c r="Y34" s="2"/>
      <c r="Z34" s="2"/>
    </row>
    <row r="35" spans="1:26" x14ac:dyDescent="0.2">
      <c r="A35" s="3" t="s">
        <v>132</v>
      </c>
      <c r="B35" s="3" t="s">
        <v>133</v>
      </c>
      <c r="C35" s="3" t="s">
        <v>134</v>
      </c>
      <c r="D35" s="3">
        <v>2020</v>
      </c>
      <c r="E35" s="3" t="s">
        <v>76</v>
      </c>
      <c r="F35" s="25" t="s">
        <v>135</v>
      </c>
      <c r="G35" s="3">
        <v>2</v>
      </c>
      <c r="H35" s="2"/>
      <c r="I35" s="2"/>
      <c r="J35" s="2"/>
      <c r="K35" s="2"/>
      <c r="L35" s="2"/>
      <c r="M35" s="2"/>
      <c r="N35" s="2"/>
      <c r="O35" s="2"/>
      <c r="P35" s="2"/>
      <c r="Q35" s="2"/>
      <c r="R35" s="2"/>
      <c r="S35" s="2"/>
      <c r="T35" s="2"/>
      <c r="U35" s="2"/>
      <c r="V35" s="2"/>
      <c r="W35" s="2"/>
      <c r="X35" s="2"/>
      <c r="Y35" s="2"/>
      <c r="Z35" s="2"/>
    </row>
    <row r="36" spans="1:26" x14ac:dyDescent="0.2">
      <c r="A36" s="3" t="s">
        <v>339</v>
      </c>
      <c r="B36" s="3" t="s">
        <v>340</v>
      </c>
      <c r="C36" s="3" t="s">
        <v>294</v>
      </c>
      <c r="D36" s="3" t="s">
        <v>293</v>
      </c>
      <c r="E36" s="3" t="s">
        <v>76</v>
      </c>
      <c r="F36" s="25" t="s">
        <v>295</v>
      </c>
      <c r="G36" s="3">
        <v>4</v>
      </c>
      <c r="H36" s="2"/>
      <c r="I36" s="2"/>
      <c r="J36" s="2"/>
      <c r="K36" s="2"/>
      <c r="L36" s="2"/>
      <c r="M36" s="2"/>
      <c r="N36" s="2"/>
      <c r="O36" s="2"/>
      <c r="P36" s="2"/>
      <c r="Q36" s="2"/>
      <c r="R36" s="2"/>
      <c r="S36" s="2"/>
      <c r="T36" s="2"/>
      <c r="U36" s="2"/>
      <c r="V36" s="2"/>
      <c r="W36" s="2"/>
      <c r="X36" s="2"/>
      <c r="Y36" s="2"/>
      <c r="Z36" s="2"/>
    </row>
    <row r="37" spans="1:26" x14ac:dyDescent="0.2">
      <c r="A37" s="3" t="s">
        <v>341</v>
      </c>
      <c r="B37" s="3" t="s">
        <v>297</v>
      </c>
      <c r="C37" s="3" t="s">
        <v>282</v>
      </c>
      <c r="D37" s="3" t="s">
        <v>299</v>
      </c>
      <c r="E37" s="3" t="s">
        <v>300</v>
      </c>
      <c r="F37" s="25" t="s">
        <v>298</v>
      </c>
      <c r="G37" s="3">
        <v>3</v>
      </c>
      <c r="H37" s="2"/>
      <c r="I37" s="2"/>
      <c r="J37" s="2"/>
      <c r="K37" s="2"/>
      <c r="L37" s="2"/>
      <c r="M37" s="2"/>
      <c r="N37" s="2"/>
      <c r="O37" s="2"/>
      <c r="P37" s="2"/>
      <c r="Q37" s="2"/>
      <c r="R37" s="2"/>
      <c r="S37" s="2"/>
      <c r="T37" s="2"/>
      <c r="U37" s="2"/>
      <c r="V37" s="2"/>
      <c r="W37" s="2"/>
      <c r="X37" s="2"/>
      <c r="Y37" s="2"/>
      <c r="Z37" s="2"/>
    </row>
    <row r="38" spans="1:26" x14ac:dyDescent="0.2">
      <c r="A38" s="3" t="s">
        <v>342</v>
      </c>
      <c r="B38" s="2" t="s">
        <v>305</v>
      </c>
      <c r="C38" s="3" t="s">
        <v>284</v>
      </c>
      <c r="D38" s="3" t="s">
        <v>306</v>
      </c>
      <c r="E38" s="3" t="s">
        <v>76</v>
      </c>
      <c r="F38" s="25" t="s">
        <v>308</v>
      </c>
      <c r="G38" s="3">
        <v>2</v>
      </c>
      <c r="H38" s="2"/>
      <c r="I38" s="2"/>
      <c r="J38" s="2"/>
      <c r="K38" s="2"/>
      <c r="L38" s="2"/>
      <c r="M38" s="2"/>
      <c r="N38" s="2"/>
      <c r="O38" s="2"/>
      <c r="P38" s="2"/>
      <c r="Q38" s="2"/>
      <c r="R38" s="2"/>
      <c r="S38" s="2"/>
      <c r="T38" s="2"/>
      <c r="U38" s="2"/>
      <c r="V38" s="2"/>
      <c r="W38" s="2"/>
      <c r="X38" s="2"/>
      <c r="Y38" s="2"/>
      <c r="Z38" s="2"/>
    </row>
    <row r="39" spans="1:26" x14ac:dyDescent="0.2">
      <c r="A39" s="3" t="s">
        <v>343</v>
      </c>
      <c r="B39" s="2" t="s">
        <v>273</v>
      </c>
      <c r="C39" s="2" t="s">
        <v>283</v>
      </c>
      <c r="D39" s="2" t="s">
        <v>241</v>
      </c>
      <c r="E39" s="3" t="s">
        <v>16</v>
      </c>
      <c r="F39" s="25" t="s">
        <v>274</v>
      </c>
      <c r="G39" s="3">
        <v>3</v>
      </c>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3" t="s">
        <v>324</v>
      </c>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1" t="s">
        <v>63</v>
      </c>
      <c r="B42" s="2"/>
      <c r="C42" s="1" t="s">
        <v>64</v>
      </c>
      <c r="D42" s="3" t="s">
        <v>9</v>
      </c>
      <c r="E42" s="3" t="s">
        <v>9</v>
      </c>
      <c r="F42" s="2"/>
      <c r="G42" s="3" t="s">
        <v>18</v>
      </c>
      <c r="H42" s="2"/>
      <c r="I42" s="2"/>
      <c r="J42" s="2"/>
      <c r="K42" s="2"/>
      <c r="L42" s="2"/>
      <c r="M42" s="2"/>
      <c r="N42" s="2"/>
      <c r="O42" s="2"/>
      <c r="P42" s="2"/>
      <c r="Q42" s="2"/>
      <c r="R42" s="2"/>
      <c r="S42" s="2"/>
      <c r="T42" s="2"/>
      <c r="U42" s="2"/>
      <c r="V42" s="2"/>
      <c r="W42" s="2"/>
      <c r="X42" s="2"/>
      <c r="Y42" s="2"/>
      <c r="Z42" s="2"/>
    </row>
    <row r="43" spans="1:26" x14ac:dyDescent="0.2">
      <c r="A43" s="1" t="s">
        <v>103</v>
      </c>
      <c r="B43" s="2"/>
      <c r="C43" s="3" t="s">
        <v>104</v>
      </c>
      <c r="D43" s="3" t="s">
        <v>9</v>
      </c>
      <c r="E43" s="3" t="s">
        <v>9</v>
      </c>
      <c r="F43" s="2"/>
      <c r="G43" s="3" t="s">
        <v>18</v>
      </c>
      <c r="H43" s="17" t="s">
        <v>354</v>
      </c>
      <c r="I43" s="2"/>
      <c r="J43" s="2"/>
      <c r="K43" s="2"/>
      <c r="L43" s="2"/>
      <c r="M43" s="2"/>
      <c r="N43" s="2"/>
      <c r="O43" s="2"/>
      <c r="P43" s="2"/>
      <c r="Q43" s="2"/>
      <c r="R43" s="2"/>
      <c r="S43" s="2"/>
      <c r="T43" s="2"/>
      <c r="U43" s="2"/>
      <c r="V43" s="2"/>
      <c r="W43" s="2"/>
      <c r="X43" s="2"/>
      <c r="Y43" s="2"/>
      <c r="Z43" s="2"/>
    </row>
    <row r="44" spans="1:26" x14ac:dyDescent="0.2">
      <c r="A44" s="3" t="s">
        <v>105</v>
      </c>
      <c r="B44" s="3" t="s">
        <v>106</v>
      </c>
      <c r="C44" s="3" t="s">
        <v>107</v>
      </c>
      <c r="D44" s="3" t="s">
        <v>108</v>
      </c>
      <c r="E44" s="3" t="s">
        <v>316</v>
      </c>
      <c r="F44" s="2"/>
      <c r="G44" s="3">
        <v>1</v>
      </c>
      <c r="H44" s="2"/>
      <c r="I44" s="2"/>
      <c r="J44" s="2"/>
      <c r="K44" s="2"/>
      <c r="L44" s="2"/>
      <c r="M44" s="2"/>
      <c r="N44" s="2"/>
      <c r="O44" s="2"/>
      <c r="P44" s="2"/>
      <c r="Q44" s="2"/>
      <c r="R44" s="2"/>
      <c r="S44" s="2"/>
      <c r="T44" s="2"/>
      <c r="U44" s="2"/>
      <c r="V44" s="2"/>
      <c r="W44" s="2"/>
      <c r="X44" s="2"/>
      <c r="Y44" s="2"/>
      <c r="Z44" s="2"/>
    </row>
    <row r="45" spans="1:26" x14ac:dyDescent="0.2">
      <c r="A45" s="3" t="s">
        <v>110</v>
      </c>
      <c r="B45" s="3" t="s">
        <v>106</v>
      </c>
      <c r="C45" s="3" t="s">
        <v>111</v>
      </c>
      <c r="D45" s="3" t="s">
        <v>108</v>
      </c>
      <c r="E45" s="3" t="s">
        <v>112</v>
      </c>
      <c r="F45" s="2"/>
      <c r="G45" s="3">
        <v>1</v>
      </c>
      <c r="H45" s="2"/>
      <c r="I45" s="2"/>
      <c r="J45" s="2"/>
      <c r="K45" s="2"/>
      <c r="L45" s="2"/>
      <c r="M45" s="2"/>
      <c r="N45" s="2"/>
      <c r="O45" s="2"/>
      <c r="P45" s="2"/>
      <c r="Q45" s="2"/>
      <c r="R45" s="2"/>
      <c r="S45" s="2"/>
      <c r="T45" s="2"/>
      <c r="U45" s="2"/>
      <c r="V45" s="2"/>
      <c r="W45" s="2"/>
      <c r="X45" s="2"/>
      <c r="Y45" s="2"/>
      <c r="Z45" s="2"/>
    </row>
    <row r="46" spans="1:26" x14ac:dyDescent="0.2">
      <c r="A46" s="3" t="s">
        <v>113</v>
      </c>
      <c r="B46" s="3" t="s">
        <v>106</v>
      </c>
      <c r="C46" s="3" t="s">
        <v>114</v>
      </c>
      <c r="D46" s="3" t="s">
        <v>108</v>
      </c>
      <c r="E46" s="3" t="s">
        <v>115</v>
      </c>
      <c r="F46" s="2"/>
      <c r="G46" s="3">
        <v>1</v>
      </c>
      <c r="H46" s="2"/>
      <c r="I46" s="2"/>
      <c r="J46" s="2"/>
      <c r="K46" s="2"/>
      <c r="L46" s="2"/>
      <c r="M46" s="2"/>
      <c r="N46" s="2"/>
      <c r="O46" s="2"/>
      <c r="P46" s="2"/>
      <c r="Q46" s="2"/>
      <c r="R46" s="2"/>
      <c r="S46" s="2"/>
      <c r="T46" s="2"/>
      <c r="U46" s="2"/>
      <c r="V46" s="2"/>
      <c r="W46" s="2"/>
      <c r="X46" s="2"/>
      <c r="Y46" s="2"/>
      <c r="Z46" s="2"/>
    </row>
    <row r="47" spans="1:26" x14ac:dyDescent="0.2">
      <c r="A47" s="3" t="s">
        <v>344</v>
      </c>
      <c r="B47" s="17" t="s">
        <v>245</v>
      </c>
      <c r="C47" s="3" t="s">
        <v>287</v>
      </c>
      <c r="D47" s="17" t="s">
        <v>246</v>
      </c>
      <c r="E47" s="3" t="s">
        <v>316</v>
      </c>
      <c r="F47" s="25" t="s">
        <v>317</v>
      </c>
      <c r="G47" s="3">
        <v>1</v>
      </c>
      <c r="H47" s="2"/>
      <c r="I47" s="2"/>
      <c r="J47" s="2"/>
      <c r="K47" s="2"/>
      <c r="L47" s="2"/>
      <c r="M47" s="2"/>
      <c r="N47" s="2"/>
      <c r="O47" s="2"/>
      <c r="P47" s="2"/>
      <c r="Q47" s="2"/>
      <c r="R47" s="2"/>
      <c r="S47" s="2"/>
      <c r="T47" s="2"/>
      <c r="U47" s="2"/>
      <c r="V47" s="2"/>
      <c r="W47" s="2"/>
      <c r="X47" s="2"/>
      <c r="Y47" s="2"/>
      <c r="Z47" s="2"/>
    </row>
    <row r="48" spans="1:26" x14ac:dyDescent="0.2">
      <c r="A48" s="3" t="s">
        <v>345</v>
      </c>
      <c r="B48" s="17" t="s">
        <v>310</v>
      </c>
      <c r="C48" s="17" t="s">
        <v>311</v>
      </c>
      <c r="D48" s="17" t="s">
        <v>312</v>
      </c>
      <c r="E48" s="17" t="s">
        <v>76</v>
      </c>
      <c r="F48" s="25" t="s">
        <v>315</v>
      </c>
      <c r="G48" s="3">
        <v>1</v>
      </c>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1" t="s">
        <v>65</v>
      </c>
      <c r="B50" s="2"/>
      <c r="C50" s="3" t="s">
        <v>66</v>
      </c>
      <c r="D50" s="3" t="s">
        <v>9</v>
      </c>
      <c r="E50" s="3" t="s">
        <v>9</v>
      </c>
      <c r="F50" s="2"/>
      <c r="G50" s="3" t="s">
        <v>18</v>
      </c>
      <c r="H50" s="2"/>
      <c r="I50" s="2"/>
      <c r="J50" s="2"/>
      <c r="K50" s="2"/>
      <c r="L50" s="2"/>
      <c r="M50" s="2"/>
      <c r="N50" s="2"/>
      <c r="O50" s="2"/>
      <c r="P50" s="2"/>
      <c r="Q50" s="2"/>
      <c r="R50" s="2"/>
      <c r="S50" s="2"/>
      <c r="T50" s="2"/>
      <c r="U50" s="2"/>
      <c r="V50" s="2"/>
      <c r="W50" s="2"/>
      <c r="X50" s="2"/>
      <c r="Y50" s="2"/>
      <c r="Z50" s="2"/>
    </row>
    <row r="51" spans="1:26" x14ac:dyDescent="0.2">
      <c r="A51" s="3" t="s">
        <v>67</v>
      </c>
      <c r="B51" s="3" t="s">
        <v>68</v>
      </c>
      <c r="C51" s="3" t="s">
        <v>69</v>
      </c>
      <c r="D51" s="3">
        <v>2017</v>
      </c>
      <c r="E51" s="3" t="s">
        <v>70</v>
      </c>
      <c r="F51" s="24" t="s">
        <v>71</v>
      </c>
      <c r="G51" s="3">
        <v>1</v>
      </c>
      <c r="H51" s="2"/>
      <c r="I51" s="2"/>
      <c r="J51" s="2"/>
      <c r="K51" s="2"/>
      <c r="L51" s="2"/>
      <c r="M51" s="2"/>
      <c r="N51" s="2"/>
      <c r="O51" s="2"/>
      <c r="P51" s="2"/>
      <c r="Q51" s="2"/>
      <c r="R51" s="2"/>
      <c r="S51" s="2"/>
      <c r="T51" s="2"/>
      <c r="U51" s="2"/>
      <c r="V51" s="2"/>
      <c r="W51" s="2"/>
      <c r="X51" s="2"/>
      <c r="Y51" s="2"/>
      <c r="Z51" s="2"/>
    </row>
    <row r="52" spans="1:26" x14ac:dyDescent="0.2">
      <c r="A52" s="3" t="s">
        <v>72</v>
      </c>
      <c r="B52" s="3" t="s">
        <v>73</v>
      </c>
      <c r="C52" s="3" t="s">
        <v>74</v>
      </c>
      <c r="D52" s="3" t="s">
        <v>75</v>
      </c>
      <c r="E52" s="3" t="s">
        <v>76</v>
      </c>
      <c r="F52" s="24" t="s">
        <v>77</v>
      </c>
      <c r="G52" s="3">
        <v>4</v>
      </c>
      <c r="H52" s="2"/>
      <c r="I52" s="2"/>
      <c r="J52" s="2"/>
      <c r="K52" s="2"/>
      <c r="L52" s="2"/>
      <c r="M52" s="2"/>
      <c r="N52" s="2"/>
      <c r="O52" s="2"/>
      <c r="P52" s="2"/>
      <c r="Q52" s="2"/>
      <c r="R52" s="2"/>
      <c r="S52" s="2"/>
      <c r="T52" s="2"/>
      <c r="U52" s="2"/>
      <c r="V52" s="2"/>
      <c r="W52" s="2"/>
      <c r="X52" s="2"/>
      <c r="Y52" s="2"/>
      <c r="Z52" s="2"/>
    </row>
    <row r="53" spans="1:26" x14ac:dyDescent="0.2">
      <c r="A53" s="3" t="s">
        <v>78</v>
      </c>
      <c r="B53" s="3" t="s">
        <v>79</v>
      </c>
      <c r="C53" s="3" t="s">
        <v>80</v>
      </c>
      <c r="D53" s="3" t="s">
        <v>81</v>
      </c>
      <c r="E53" s="3" t="s">
        <v>76</v>
      </c>
      <c r="F53" s="24" t="s">
        <v>82</v>
      </c>
      <c r="G53" s="3">
        <v>5</v>
      </c>
      <c r="H53" s="2"/>
      <c r="I53" s="2"/>
      <c r="J53" s="2"/>
      <c r="K53" s="2"/>
      <c r="L53" s="2"/>
      <c r="M53" s="2"/>
      <c r="N53" s="2"/>
      <c r="O53" s="2"/>
      <c r="P53" s="2"/>
      <c r="Q53" s="2"/>
      <c r="R53" s="2"/>
      <c r="S53" s="2"/>
      <c r="T53" s="2"/>
      <c r="U53" s="2"/>
      <c r="V53" s="2"/>
      <c r="W53" s="2"/>
      <c r="X53" s="2"/>
      <c r="Y53" s="2"/>
      <c r="Z53" s="2"/>
    </row>
    <row r="54" spans="1:26" x14ac:dyDescent="0.2">
      <c r="A54" s="3" t="s">
        <v>83</v>
      </c>
      <c r="B54" s="3" t="s">
        <v>84</v>
      </c>
      <c r="C54" s="3" t="s">
        <v>85</v>
      </c>
      <c r="D54" s="3" t="s">
        <v>86</v>
      </c>
      <c r="E54" s="3" t="s">
        <v>76</v>
      </c>
      <c r="F54" s="24" t="s">
        <v>87</v>
      </c>
      <c r="G54" s="3">
        <v>3</v>
      </c>
      <c r="H54" s="2"/>
      <c r="I54" s="2"/>
      <c r="J54" s="2"/>
      <c r="K54" s="2"/>
      <c r="L54" s="2"/>
      <c r="M54" s="2"/>
      <c r="N54" s="2"/>
      <c r="O54" s="2"/>
      <c r="P54" s="2"/>
      <c r="Q54" s="2"/>
      <c r="R54" s="2"/>
      <c r="S54" s="2"/>
      <c r="T54" s="2"/>
      <c r="U54" s="2"/>
      <c r="V54" s="2"/>
      <c r="W54" s="2"/>
      <c r="X54" s="2"/>
      <c r="Y54" s="2"/>
      <c r="Z54" s="2"/>
    </row>
    <row r="55" spans="1:26" x14ac:dyDescent="0.2">
      <c r="A55" s="3" t="s">
        <v>88</v>
      </c>
      <c r="B55" s="3" t="s">
        <v>89</v>
      </c>
      <c r="C55" s="3" t="s">
        <v>90</v>
      </c>
      <c r="D55" s="3" t="s">
        <v>81</v>
      </c>
      <c r="E55" s="3" t="s">
        <v>316</v>
      </c>
      <c r="F55" s="3" t="s">
        <v>92</v>
      </c>
      <c r="G55" s="3">
        <v>4</v>
      </c>
      <c r="H55" s="2"/>
      <c r="I55" s="2"/>
      <c r="J55" s="2"/>
      <c r="K55" s="2"/>
      <c r="L55" s="2"/>
      <c r="M55" s="2"/>
      <c r="N55" s="2"/>
      <c r="O55" s="2"/>
      <c r="P55" s="2"/>
      <c r="Q55" s="2"/>
      <c r="R55" s="2"/>
      <c r="S55" s="2"/>
      <c r="T55" s="2"/>
      <c r="U55" s="2"/>
      <c r="V55" s="2"/>
      <c r="W55" s="2"/>
      <c r="X55" s="2"/>
      <c r="Y55" s="2"/>
      <c r="Z55" s="2"/>
    </row>
    <row r="56" spans="1:26" x14ac:dyDescent="0.2">
      <c r="A56" s="3" t="s">
        <v>93</v>
      </c>
      <c r="B56" s="3" t="s">
        <v>94</v>
      </c>
      <c r="C56" s="3" t="s">
        <v>95</v>
      </c>
      <c r="D56" s="3" t="s">
        <v>96</v>
      </c>
      <c r="E56" s="3" t="s">
        <v>316</v>
      </c>
      <c r="F56" s="24" t="s">
        <v>97</v>
      </c>
      <c r="G56" s="3">
        <v>2</v>
      </c>
      <c r="H56" s="2"/>
      <c r="I56" s="2"/>
      <c r="J56" s="2"/>
      <c r="K56" s="2"/>
      <c r="L56" s="2"/>
      <c r="M56" s="2"/>
      <c r="N56" s="2"/>
      <c r="O56" s="2"/>
      <c r="P56" s="2"/>
      <c r="Q56" s="2"/>
      <c r="R56" s="2"/>
      <c r="S56" s="2"/>
      <c r="T56" s="2"/>
      <c r="U56" s="2"/>
      <c r="V56" s="2"/>
      <c r="W56" s="2"/>
      <c r="X56" s="2"/>
      <c r="Y56" s="2"/>
      <c r="Z56" s="2"/>
    </row>
    <row r="57" spans="1:26" x14ac:dyDescent="0.2">
      <c r="A57" s="3" t="s">
        <v>98</v>
      </c>
      <c r="B57" s="3" t="s">
        <v>99</v>
      </c>
      <c r="C57" s="3" t="s">
        <v>100</v>
      </c>
      <c r="D57" s="3" t="s">
        <v>101</v>
      </c>
      <c r="E57" s="3" t="s">
        <v>25</v>
      </c>
      <c r="F57" s="3" t="s">
        <v>330</v>
      </c>
      <c r="G57" s="3">
        <v>1</v>
      </c>
      <c r="H57" s="2"/>
      <c r="I57" s="2"/>
      <c r="J57" s="2"/>
      <c r="K57" s="2"/>
      <c r="L57" s="2"/>
      <c r="M57" s="2"/>
      <c r="N57" s="2"/>
      <c r="O57" s="2"/>
      <c r="P57" s="2"/>
      <c r="Q57" s="2"/>
      <c r="R57" s="2"/>
      <c r="S57" s="2"/>
      <c r="T57" s="2"/>
      <c r="U57" s="2"/>
      <c r="V57" s="2"/>
      <c r="W57" s="2"/>
      <c r="X57" s="2"/>
      <c r="Y57" s="2"/>
      <c r="Z57" s="2"/>
    </row>
    <row r="58" spans="1:26" x14ac:dyDescent="0.2">
      <c r="A58" s="3" t="s">
        <v>346</v>
      </c>
      <c r="B58" s="3" t="s">
        <v>219</v>
      </c>
      <c r="C58" s="3" t="s">
        <v>347</v>
      </c>
      <c r="D58" s="3" t="s">
        <v>301</v>
      </c>
      <c r="E58" s="3" t="s">
        <v>76</v>
      </c>
      <c r="F58" s="25" t="s">
        <v>302</v>
      </c>
      <c r="G58" s="3">
        <v>5</v>
      </c>
      <c r="H58" s="2"/>
      <c r="I58" s="2"/>
      <c r="J58" s="2"/>
      <c r="K58" s="2"/>
      <c r="L58" s="2"/>
      <c r="M58" s="2"/>
      <c r="N58" s="2"/>
      <c r="O58" s="2"/>
      <c r="P58" s="2"/>
      <c r="Q58" s="2"/>
      <c r="R58" s="2"/>
      <c r="S58" s="2"/>
      <c r="T58" s="2"/>
      <c r="U58" s="2"/>
      <c r="V58" s="2"/>
      <c r="W58" s="2"/>
      <c r="X58" s="2"/>
      <c r="Y58" s="2"/>
      <c r="Z58" s="2"/>
    </row>
    <row r="59" spans="1:26" x14ac:dyDescent="0.2">
      <c r="A59" s="3" t="s">
        <v>349</v>
      </c>
      <c r="B59" s="3" t="s">
        <v>303</v>
      </c>
      <c r="C59" s="3" t="s">
        <v>286</v>
      </c>
      <c r="D59" s="3" t="s">
        <v>236</v>
      </c>
      <c r="E59" s="3" t="s">
        <v>316</v>
      </c>
      <c r="F59" s="24" t="s">
        <v>251</v>
      </c>
      <c r="G59" s="3">
        <v>3</v>
      </c>
      <c r="H59" s="2"/>
      <c r="I59" s="2"/>
      <c r="J59" s="2"/>
      <c r="K59" s="2"/>
      <c r="L59" s="2"/>
      <c r="M59" s="2"/>
      <c r="N59" s="2"/>
      <c r="O59" s="2"/>
      <c r="P59" s="2"/>
      <c r="Q59" s="2"/>
      <c r="R59" s="2"/>
      <c r="S59" s="2"/>
      <c r="T59" s="2"/>
      <c r="U59" s="2"/>
      <c r="V59" s="2"/>
      <c r="W59" s="2"/>
      <c r="X59" s="2"/>
      <c r="Y59" s="2"/>
      <c r="Z59" s="2"/>
    </row>
    <row r="60" spans="1:26" x14ac:dyDescent="0.2">
      <c r="A60" s="3" t="s">
        <v>350</v>
      </c>
      <c r="B60" s="3" t="s">
        <v>303</v>
      </c>
      <c r="C60" s="3" t="s">
        <v>288</v>
      </c>
      <c r="D60" s="3" t="s">
        <v>236</v>
      </c>
      <c r="E60" s="3" t="s">
        <v>316</v>
      </c>
      <c r="F60" s="25" t="s">
        <v>251</v>
      </c>
      <c r="G60" s="3">
        <v>2</v>
      </c>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3" t="s">
        <v>324</v>
      </c>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71CB-7531-0440-A51C-125260D9C1DF}">
  <dimension ref="A1:Z1009"/>
  <sheetViews>
    <sheetView workbookViewId="0">
      <selection activeCell="G32" sqref="G32:G39"/>
    </sheetView>
  </sheetViews>
  <sheetFormatPr baseColWidth="10" defaultRowHeight="16" x14ac:dyDescent="0.2"/>
  <sheetData>
    <row r="1" spans="1:26" x14ac:dyDescent="0.2">
      <c r="A1" s="1" t="s">
        <v>322</v>
      </c>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1" t="s">
        <v>0</v>
      </c>
      <c r="B4" s="1" t="s">
        <v>1</v>
      </c>
      <c r="C4" s="1" t="s">
        <v>2</v>
      </c>
      <c r="D4" s="1" t="s">
        <v>3</v>
      </c>
      <c r="E4" s="1" t="s">
        <v>4</v>
      </c>
      <c r="F4" s="1" t="s">
        <v>5</v>
      </c>
      <c r="G4" s="1" t="s">
        <v>323</v>
      </c>
      <c r="H4" s="2"/>
      <c r="I4" s="2"/>
      <c r="J4" s="2"/>
      <c r="K4" s="2"/>
      <c r="L4" s="2"/>
      <c r="M4" s="2"/>
      <c r="N4" s="2"/>
      <c r="O4" s="2"/>
      <c r="P4" s="2"/>
      <c r="Q4" s="2"/>
      <c r="R4" s="2"/>
      <c r="S4" s="2"/>
      <c r="T4" s="2"/>
      <c r="U4" s="2"/>
      <c r="V4" s="2"/>
      <c r="W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1" t="s">
        <v>7</v>
      </c>
      <c r="B6" s="2"/>
      <c r="C6" s="1" t="s">
        <v>8</v>
      </c>
      <c r="D6" s="3" t="s">
        <v>9</v>
      </c>
      <c r="E6" s="3" t="s">
        <v>9</v>
      </c>
      <c r="F6" s="2"/>
      <c r="G6" s="3" t="s">
        <v>18</v>
      </c>
      <c r="H6" s="2"/>
      <c r="I6" s="2"/>
      <c r="J6" s="2"/>
      <c r="K6" s="2"/>
      <c r="L6" s="2"/>
      <c r="M6" s="2"/>
      <c r="N6" s="2"/>
      <c r="O6" s="2"/>
      <c r="P6" s="2"/>
      <c r="Q6" s="2"/>
      <c r="R6" s="2"/>
      <c r="S6" s="2"/>
      <c r="T6" s="2"/>
      <c r="U6" s="2"/>
      <c r="V6" s="2"/>
      <c r="W6" s="2"/>
      <c r="X6" s="2"/>
      <c r="Y6" s="2"/>
      <c r="Z6" s="2"/>
    </row>
    <row r="7" spans="1:26" x14ac:dyDescent="0.2">
      <c r="A7" s="1" t="s">
        <v>10</v>
      </c>
      <c r="B7" s="2"/>
      <c r="C7" s="3" t="s">
        <v>11</v>
      </c>
      <c r="D7" s="3" t="s">
        <v>9</v>
      </c>
      <c r="E7" s="3" t="s">
        <v>9</v>
      </c>
      <c r="F7" s="2"/>
      <c r="G7" s="3" t="s">
        <v>18</v>
      </c>
      <c r="H7" s="2"/>
      <c r="I7" s="2"/>
      <c r="J7" s="2"/>
      <c r="K7" s="2"/>
      <c r="L7" s="2"/>
      <c r="M7" s="2"/>
      <c r="N7" s="2"/>
      <c r="O7" s="2"/>
      <c r="P7" s="2"/>
      <c r="Q7" s="2"/>
      <c r="R7" s="2"/>
      <c r="S7" s="2"/>
      <c r="T7" s="2"/>
      <c r="U7" s="2"/>
      <c r="V7" s="2"/>
      <c r="W7" s="2"/>
      <c r="X7" s="2"/>
      <c r="Y7" s="2"/>
      <c r="Z7" s="2"/>
    </row>
    <row r="8" spans="1:26" x14ac:dyDescent="0.2">
      <c r="A8" s="3" t="s">
        <v>12</v>
      </c>
      <c r="B8" s="3" t="s">
        <v>13</v>
      </c>
      <c r="C8" s="3" t="s">
        <v>263</v>
      </c>
      <c r="D8" s="3" t="s">
        <v>15</v>
      </c>
      <c r="E8" s="3" t="s">
        <v>16</v>
      </c>
      <c r="F8" s="24" t="s">
        <v>17</v>
      </c>
      <c r="G8" s="3">
        <v>3</v>
      </c>
      <c r="H8" s="2"/>
      <c r="I8" s="2"/>
      <c r="J8" s="2"/>
      <c r="K8" s="2"/>
      <c r="L8" s="2"/>
      <c r="M8" s="2"/>
      <c r="N8" s="2"/>
      <c r="O8" s="2"/>
      <c r="P8" s="2"/>
      <c r="Q8" s="2"/>
      <c r="R8" s="2"/>
      <c r="S8" s="2"/>
      <c r="T8" s="2"/>
      <c r="U8" s="2"/>
      <c r="V8" s="2"/>
      <c r="W8" s="2"/>
      <c r="X8" s="2"/>
      <c r="Y8" s="2"/>
      <c r="Z8" s="2"/>
    </row>
    <row r="9" spans="1:26" x14ac:dyDescent="0.2">
      <c r="A9" s="3" t="s">
        <v>19</v>
      </c>
      <c r="B9" s="3" t="s">
        <v>13</v>
      </c>
      <c r="C9" s="3" t="s">
        <v>264</v>
      </c>
      <c r="D9" s="3" t="s">
        <v>15</v>
      </c>
      <c r="E9" s="3" t="s">
        <v>16</v>
      </c>
      <c r="F9" s="24" t="s">
        <v>17</v>
      </c>
      <c r="G9" s="3">
        <v>2</v>
      </c>
      <c r="H9" s="2"/>
      <c r="I9" s="2"/>
      <c r="J9" s="2"/>
      <c r="K9" s="2"/>
      <c r="L9" s="2"/>
      <c r="M9" s="2"/>
      <c r="N9" s="2"/>
      <c r="O9" s="2"/>
      <c r="P9" s="2"/>
      <c r="Q9" s="2"/>
      <c r="R9" s="2"/>
      <c r="S9" s="2"/>
      <c r="T9" s="2"/>
      <c r="U9" s="2"/>
      <c r="V9" s="2"/>
      <c r="W9" s="2"/>
      <c r="X9" s="2"/>
      <c r="Y9" s="2"/>
      <c r="Z9" s="2"/>
    </row>
    <row r="10" spans="1:26" x14ac:dyDescent="0.2">
      <c r="A10" s="3" t="s">
        <v>21</v>
      </c>
      <c r="B10" s="3" t="s">
        <v>22</v>
      </c>
      <c r="C10" s="3" t="s">
        <v>262</v>
      </c>
      <c r="D10" s="3" t="s">
        <v>24</v>
      </c>
      <c r="E10" s="3" t="s">
        <v>25</v>
      </c>
      <c r="F10" s="24" t="s">
        <v>26</v>
      </c>
      <c r="G10" s="3">
        <v>4</v>
      </c>
      <c r="H10" s="2"/>
      <c r="I10" s="2"/>
      <c r="J10" s="2"/>
      <c r="K10" s="2"/>
      <c r="L10" s="2"/>
      <c r="M10" s="2"/>
      <c r="N10" s="2"/>
      <c r="O10" s="2"/>
      <c r="P10" s="2"/>
      <c r="Q10" s="2"/>
      <c r="R10" s="2"/>
      <c r="S10" s="2"/>
      <c r="T10" s="2"/>
      <c r="U10" s="2"/>
      <c r="V10" s="2"/>
      <c r="W10" s="2"/>
      <c r="X10" s="2"/>
      <c r="Y10" s="2"/>
      <c r="Z10" s="2"/>
    </row>
    <row r="11" spans="1:26" x14ac:dyDescent="0.2">
      <c r="A11" s="3" t="s">
        <v>33</v>
      </c>
      <c r="B11" s="3" t="s">
        <v>28</v>
      </c>
      <c r="C11" s="3" t="s">
        <v>34</v>
      </c>
      <c r="D11" s="3" t="s">
        <v>30</v>
      </c>
      <c r="E11" s="3" t="s">
        <v>31</v>
      </c>
      <c r="F11" s="3" t="s">
        <v>325</v>
      </c>
      <c r="G11" s="3">
        <v>5</v>
      </c>
      <c r="H11" s="2"/>
      <c r="I11" s="2"/>
      <c r="J11" s="2"/>
      <c r="K11" s="2"/>
      <c r="L11" s="2"/>
      <c r="M11" s="2"/>
      <c r="N11" s="2"/>
      <c r="O11" s="2"/>
      <c r="P11" s="2"/>
      <c r="Q11" s="2"/>
      <c r="R11" s="2"/>
      <c r="S11" s="2"/>
      <c r="T11" s="2"/>
      <c r="U11" s="2"/>
      <c r="V11" s="2"/>
      <c r="W11" s="2"/>
      <c r="X11" s="2"/>
      <c r="Y11" s="2"/>
      <c r="Z11" s="2"/>
    </row>
    <row r="12" spans="1:26" x14ac:dyDescent="0.2">
      <c r="A12" s="3" t="s">
        <v>326</v>
      </c>
      <c r="B12" s="3" t="s">
        <v>13</v>
      </c>
      <c r="C12" s="3" t="s">
        <v>281</v>
      </c>
      <c r="D12" s="3" t="s">
        <v>15</v>
      </c>
      <c r="E12" s="3" t="s">
        <v>16</v>
      </c>
      <c r="F12" s="24" t="s">
        <v>17</v>
      </c>
      <c r="G12" s="3">
        <v>3</v>
      </c>
      <c r="H12" s="2"/>
      <c r="I12" s="2"/>
      <c r="J12" s="2"/>
      <c r="K12" s="2"/>
      <c r="L12" s="2"/>
      <c r="M12" s="2"/>
      <c r="N12" s="2"/>
      <c r="O12" s="2"/>
      <c r="P12" s="2"/>
      <c r="Q12" s="2"/>
      <c r="R12" s="2"/>
      <c r="S12" s="2"/>
      <c r="T12" s="2"/>
      <c r="U12" s="2"/>
      <c r="V12" s="2"/>
      <c r="W12" s="2"/>
      <c r="X12" s="2"/>
      <c r="Y12" s="2"/>
      <c r="Z12" s="2"/>
    </row>
    <row r="13" spans="1:26" x14ac:dyDescent="0.2">
      <c r="A13" s="3" t="s">
        <v>327</v>
      </c>
      <c r="B13" s="3" t="s">
        <v>314</v>
      </c>
      <c r="C13" s="3" t="s">
        <v>261</v>
      </c>
      <c r="D13" s="3" t="s">
        <v>314</v>
      </c>
      <c r="E13" s="3" t="s">
        <v>314</v>
      </c>
      <c r="F13" s="3" t="s">
        <v>314</v>
      </c>
      <c r="G13" s="3">
        <v>5</v>
      </c>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1" t="s">
        <v>36</v>
      </c>
      <c r="B15" s="2"/>
      <c r="C15" s="3" t="s">
        <v>37</v>
      </c>
      <c r="D15" s="3" t="s">
        <v>9</v>
      </c>
      <c r="E15" s="3" t="s">
        <v>9</v>
      </c>
      <c r="F15" s="2"/>
      <c r="G15" s="3" t="s">
        <v>18</v>
      </c>
      <c r="H15" s="2"/>
      <c r="I15" s="2"/>
      <c r="J15" s="2"/>
      <c r="K15" s="2"/>
      <c r="L15" s="2"/>
      <c r="M15" s="2"/>
      <c r="N15" s="2"/>
      <c r="O15" s="2"/>
      <c r="P15" s="2"/>
      <c r="Q15" s="2"/>
      <c r="R15" s="2"/>
      <c r="S15" s="2"/>
      <c r="T15" s="2"/>
      <c r="U15" s="2"/>
      <c r="V15" s="2"/>
      <c r="W15" s="2"/>
      <c r="X15" s="2"/>
      <c r="Y15" s="2"/>
      <c r="Z15" s="2"/>
    </row>
    <row r="16" spans="1:26" x14ac:dyDescent="0.2">
      <c r="A16" s="3" t="s">
        <v>265</v>
      </c>
      <c r="B16" s="3" t="s">
        <v>39</v>
      </c>
      <c r="C16" s="3" t="s">
        <v>40</v>
      </c>
      <c r="D16" s="3" t="s">
        <v>41</v>
      </c>
      <c r="E16" s="3" t="s">
        <v>42</v>
      </c>
      <c r="F16" s="3" t="s">
        <v>328</v>
      </c>
      <c r="G16" s="17">
        <v>4</v>
      </c>
      <c r="H16" s="2"/>
      <c r="I16" s="2"/>
      <c r="J16" s="2"/>
      <c r="K16" s="2"/>
      <c r="L16" s="2"/>
      <c r="M16" s="2"/>
      <c r="N16" s="2"/>
      <c r="O16" s="2"/>
      <c r="P16" s="2"/>
      <c r="Q16" s="2"/>
      <c r="R16" s="2"/>
      <c r="S16" s="2"/>
      <c r="T16" s="2"/>
      <c r="U16" s="2"/>
      <c r="V16" s="2"/>
      <c r="W16" s="2"/>
      <c r="X16" s="2"/>
      <c r="Y16" s="2"/>
      <c r="Z16" s="2"/>
    </row>
    <row r="17" spans="1:26" x14ac:dyDescent="0.2">
      <c r="A17" s="3" t="s">
        <v>44</v>
      </c>
      <c r="B17" s="3" t="s">
        <v>45</v>
      </c>
      <c r="C17" s="3" t="s">
        <v>46</v>
      </c>
      <c r="D17" s="3" t="s">
        <v>47</v>
      </c>
      <c r="E17" s="3" t="s">
        <v>48</v>
      </c>
      <c r="F17" s="3" t="s">
        <v>329</v>
      </c>
      <c r="G17" s="2">
        <v>5</v>
      </c>
      <c r="H17" s="2"/>
      <c r="I17" s="2"/>
      <c r="J17" s="2"/>
      <c r="K17" s="2"/>
      <c r="L17" s="2"/>
      <c r="M17" s="2"/>
      <c r="N17" s="2"/>
      <c r="O17" s="2"/>
      <c r="P17" s="2"/>
      <c r="Q17" s="2"/>
      <c r="R17" s="2"/>
      <c r="S17" s="2"/>
      <c r="T17" s="2"/>
      <c r="U17" s="2"/>
      <c r="V17" s="2"/>
      <c r="W17" s="2"/>
      <c r="X17" s="2"/>
      <c r="Y17" s="2"/>
      <c r="Z17" s="2"/>
    </row>
    <row r="18" spans="1:26" x14ac:dyDescent="0.2">
      <c r="A18" s="3" t="s">
        <v>50</v>
      </c>
      <c r="B18" s="3" t="s">
        <v>51</v>
      </c>
      <c r="C18" s="3" t="s">
        <v>52</v>
      </c>
      <c r="D18" s="3" t="s">
        <v>53</v>
      </c>
      <c r="E18" s="3" t="s">
        <v>48</v>
      </c>
      <c r="F18" s="3" t="s">
        <v>54</v>
      </c>
      <c r="G18" s="2">
        <v>4</v>
      </c>
      <c r="H18" s="2"/>
      <c r="I18" s="2"/>
      <c r="J18" s="2"/>
      <c r="K18" s="2"/>
      <c r="L18" s="2"/>
      <c r="M18" s="2"/>
      <c r="N18" s="2"/>
      <c r="O18" s="2"/>
      <c r="P18" s="2"/>
      <c r="Q18" s="2"/>
      <c r="R18" s="2"/>
      <c r="S18" s="2"/>
      <c r="T18" s="2"/>
      <c r="U18" s="2"/>
      <c r="V18" s="2"/>
      <c r="W18" s="2"/>
      <c r="X18" s="2"/>
      <c r="Y18" s="2"/>
      <c r="Z18" s="2"/>
    </row>
    <row r="19" spans="1:26" x14ac:dyDescent="0.2">
      <c r="A19" s="3" t="s">
        <v>266</v>
      </c>
      <c r="B19" s="3" t="s">
        <v>56</v>
      </c>
      <c r="C19" s="3" t="s">
        <v>57</v>
      </c>
      <c r="D19" s="3" t="s">
        <v>58</v>
      </c>
      <c r="E19" s="3" t="s">
        <v>59</v>
      </c>
      <c r="F19" s="3" t="s">
        <v>60</v>
      </c>
      <c r="G19" s="2">
        <v>4</v>
      </c>
      <c r="H19" s="2"/>
      <c r="I19" s="2"/>
      <c r="J19" s="2"/>
      <c r="K19" s="2"/>
      <c r="L19" s="2"/>
      <c r="M19" s="2"/>
      <c r="N19" s="2"/>
      <c r="O19" s="2"/>
      <c r="P19" s="2"/>
      <c r="Q19" s="2"/>
      <c r="R19" s="2"/>
      <c r="S19" s="2"/>
      <c r="T19" s="2"/>
      <c r="U19" s="2"/>
      <c r="V19" s="2"/>
      <c r="W19" s="2"/>
      <c r="X19" s="2"/>
      <c r="Y19" s="2"/>
      <c r="Z19" s="2"/>
    </row>
    <row r="20" spans="1:26" x14ac:dyDescent="0.2">
      <c r="A20" s="3" t="s">
        <v>61</v>
      </c>
      <c r="B20" s="3" t="s">
        <v>51</v>
      </c>
      <c r="C20" s="3" t="s">
        <v>62</v>
      </c>
      <c r="D20" s="3" t="s">
        <v>53</v>
      </c>
      <c r="E20" s="3" t="s">
        <v>48</v>
      </c>
      <c r="F20" s="3" t="s">
        <v>54</v>
      </c>
      <c r="G20" s="2">
        <v>4</v>
      </c>
      <c r="H20" s="2"/>
      <c r="I20" s="2"/>
      <c r="J20" s="2"/>
      <c r="K20" s="2"/>
      <c r="L20" s="2"/>
      <c r="M20" s="2"/>
      <c r="N20" s="2"/>
      <c r="O20" s="2"/>
      <c r="P20" s="2"/>
      <c r="Q20" s="2"/>
      <c r="R20" s="2"/>
      <c r="S20" s="2"/>
      <c r="T20" s="2"/>
      <c r="U20" s="2"/>
      <c r="V20" s="2"/>
      <c r="W20" s="2"/>
      <c r="X20" s="2"/>
      <c r="Y20" s="2"/>
      <c r="Z20" s="2"/>
    </row>
    <row r="21" spans="1:26" x14ac:dyDescent="0.2">
      <c r="A21" s="3" t="s">
        <v>254</v>
      </c>
      <c r="B21" s="3" t="s">
        <v>99</v>
      </c>
      <c r="C21" s="3" t="s">
        <v>129</v>
      </c>
      <c r="D21" s="3" t="s">
        <v>101</v>
      </c>
      <c r="E21" s="3" t="s">
        <v>25</v>
      </c>
      <c r="F21" s="3" t="s">
        <v>330</v>
      </c>
      <c r="G21" s="3">
        <v>4</v>
      </c>
      <c r="H21" s="2"/>
      <c r="I21" s="2"/>
      <c r="J21" s="2"/>
      <c r="K21" s="2"/>
      <c r="L21" s="2"/>
      <c r="M21" s="2"/>
      <c r="N21" s="2"/>
      <c r="O21" s="2"/>
      <c r="P21" s="2"/>
      <c r="Q21" s="2"/>
      <c r="R21" s="2"/>
      <c r="S21" s="2"/>
      <c r="T21" s="2"/>
      <c r="U21" s="2"/>
      <c r="V21" s="2"/>
      <c r="W21" s="2"/>
      <c r="X21" s="2"/>
      <c r="Y21" s="2"/>
      <c r="Z21" s="2"/>
    </row>
    <row r="22" spans="1:26" x14ac:dyDescent="0.2">
      <c r="A22" s="3" t="s">
        <v>130</v>
      </c>
      <c r="B22" s="3" t="s">
        <v>99</v>
      </c>
      <c r="C22" s="3" t="s">
        <v>131</v>
      </c>
      <c r="D22" s="3" t="s">
        <v>101</v>
      </c>
      <c r="E22" s="3" t="s">
        <v>25</v>
      </c>
      <c r="F22" s="3" t="s">
        <v>330</v>
      </c>
      <c r="G22" s="3">
        <v>3</v>
      </c>
      <c r="H22" s="2"/>
      <c r="I22" s="2"/>
      <c r="J22" s="2"/>
      <c r="K22" s="2"/>
      <c r="L22" s="2"/>
      <c r="M22" s="2"/>
      <c r="N22" s="2"/>
      <c r="O22" s="2"/>
      <c r="P22" s="2"/>
      <c r="Q22" s="2"/>
      <c r="R22" s="2"/>
      <c r="S22" s="2"/>
      <c r="T22" s="2"/>
      <c r="U22" s="2"/>
      <c r="V22" s="2"/>
      <c r="W22" s="2"/>
      <c r="X22" s="2"/>
      <c r="Y22" s="2"/>
      <c r="Z22" s="2"/>
    </row>
    <row r="23" spans="1:26" x14ac:dyDescent="0.2">
      <c r="A23" s="3" t="s">
        <v>267</v>
      </c>
      <c r="B23" s="3" t="s">
        <v>28</v>
      </c>
      <c r="C23" s="3" t="s">
        <v>29</v>
      </c>
      <c r="D23" s="3" t="s">
        <v>30</v>
      </c>
      <c r="E23" s="3" t="s">
        <v>31</v>
      </c>
      <c r="F23" s="3" t="s">
        <v>325</v>
      </c>
      <c r="G23" s="3">
        <v>3</v>
      </c>
      <c r="H23" s="2"/>
      <c r="I23" s="2"/>
      <c r="J23" s="2"/>
      <c r="K23" s="2"/>
      <c r="L23" s="2"/>
      <c r="M23" s="2"/>
      <c r="N23" s="2"/>
      <c r="O23" s="2"/>
      <c r="P23" s="2"/>
      <c r="Q23" s="2"/>
      <c r="R23" s="2"/>
      <c r="S23" s="2"/>
      <c r="T23" s="2"/>
      <c r="U23" s="2"/>
      <c r="V23" s="2"/>
      <c r="W23" s="2"/>
      <c r="X23" s="2"/>
      <c r="Y23" s="2"/>
      <c r="Z23" s="2"/>
    </row>
    <row r="24" spans="1:26" x14ac:dyDescent="0.2">
      <c r="A24" s="3" t="s">
        <v>332</v>
      </c>
      <c r="B24" s="3" t="s">
        <v>51</v>
      </c>
      <c r="C24" s="3" t="s">
        <v>272</v>
      </c>
      <c r="D24" s="3" t="s">
        <v>53</v>
      </c>
      <c r="E24" s="3" t="s">
        <v>48</v>
      </c>
      <c r="F24" s="3" t="s">
        <v>54</v>
      </c>
      <c r="G24" s="3">
        <v>2</v>
      </c>
      <c r="H24" s="2"/>
      <c r="I24" s="2"/>
      <c r="J24" s="2"/>
      <c r="K24" s="2"/>
      <c r="L24" s="2"/>
      <c r="M24" s="2"/>
      <c r="N24" s="2"/>
      <c r="O24" s="2"/>
      <c r="P24" s="2"/>
      <c r="Q24" s="2"/>
      <c r="R24" s="2"/>
      <c r="S24" s="2"/>
      <c r="T24" s="2"/>
      <c r="U24" s="2"/>
      <c r="V24" s="2"/>
      <c r="W24" s="2"/>
      <c r="X24" s="2"/>
      <c r="Y24" s="2"/>
      <c r="Z24" s="2"/>
    </row>
    <row r="25" spans="1:26" x14ac:dyDescent="0.2">
      <c r="A25" s="3" t="s">
        <v>334</v>
      </c>
      <c r="B25" s="3" t="s">
        <v>335</v>
      </c>
      <c r="C25" s="3" t="s">
        <v>289</v>
      </c>
      <c r="D25" s="3" t="s">
        <v>270</v>
      </c>
      <c r="E25" s="3" t="s">
        <v>31</v>
      </c>
      <c r="F25" s="24" t="s">
        <v>271</v>
      </c>
      <c r="G25" s="3">
        <v>4</v>
      </c>
      <c r="H25" s="2"/>
      <c r="I25" s="2"/>
      <c r="J25" s="2"/>
      <c r="K25" s="2"/>
      <c r="L25" s="2"/>
      <c r="M25" s="2"/>
      <c r="N25" s="2"/>
      <c r="O25" s="2"/>
      <c r="P25" s="2"/>
      <c r="Q25" s="2"/>
      <c r="R25" s="2"/>
      <c r="S25" s="2"/>
      <c r="T25" s="2"/>
      <c r="U25" s="2"/>
      <c r="V25" s="2"/>
      <c r="W25" s="2"/>
      <c r="X25" s="2"/>
      <c r="Y25" s="2"/>
      <c r="Z25" s="2"/>
    </row>
    <row r="26" spans="1:26" x14ac:dyDescent="0.2">
      <c r="A26" s="3" t="s">
        <v>336</v>
      </c>
      <c r="B26" s="3" t="s">
        <v>51</v>
      </c>
      <c r="C26" s="3" t="s">
        <v>290</v>
      </c>
      <c r="D26" s="3" t="s">
        <v>53</v>
      </c>
      <c r="E26" s="3" t="s">
        <v>48</v>
      </c>
      <c r="F26" s="3" t="s">
        <v>54</v>
      </c>
      <c r="G26" s="3">
        <v>3</v>
      </c>
      <c r="H26" s="2"/>
      <c r="I26" s="2"/>
      <c r="J26" s="2"/>
      <c r="K26" s="2"/>
      <c r="L26" s="2"/>
      <c r="M26" s="2"/>
      <c r="N26" s="2"/>
      <c r="O26" s="2"/>
      <c r="P26" s="2"/>
      <c r="Q26" s="2"/>
      <c r="R26" s="2"/>
      <c r="S26" s="2"/>
      <c r="T26" s="2"/>
      <c r="U26" s="2"/>
      <c r="V26" s="2"/>
      <c r="W26" s="2"/>
      <c r="X26" s="2"/>
      <c r="Y26" s="2"/>
      <c r="Z26" s="2"/>
    </row>
    <row r="27" spans="1:26" x14ac:dyDescent="0.2">
      <c r="A27" s="3" t="s">
        <v>337</v>
      </c>
      <c r="B27" s="3" t="s">
        <v>51</v>
      </c>
      <c r="C27" s="3" t="s">
        <v>292</v>
      </c>
      <c r="D27" s="3" t="s">
        <v>53</v>
      </c>
      <c r="E27" s="3" t="s">
        <v>48</v>
      </c>
      <c r="F27" s="3" t="s">
        <v>54</v>
      </c>
      <c r="G27" s="3">
        <v>4</v>
      </c>
      <c r="H27" s="2"/>
      <c r="I27" s="2"/>
      <c r="J27" s="2"/>
      <c r="K27" s="2"/>
      <c r="L27" s="2"/>
      <c r="M27" s="2"/>
      <c r="N27" s="2"/>
      <c r="O27" s="2"/>
      <c r="P27" s="2"/>
      <c r="Q27" s="2"/>
      <c r="R27" s="2"/>
      <c r="S27" s="2"/>
      <c r="T27" s="2"/>
      <c r="U27" s="2"/>
      <c r="V27" s="2"/>
      <c r="W27" s="2"/>
      <c r="X27" s="2"/>
      <c r="Y27" s="2"/>
      <c r="Z27" s="2"/>
    </row>
    <row r="28" spans="1:26" x14ac:dyDescent="0.2">
      <c r="A28" s="3" t="s">
        <v>338</v>
      </c>
      <c r="B28" s="3" t="s">
        <v>51</v>
      </c>
      <c r="C28" s="3" t="s">
        <v>291</v>
      </c>
      <c r="D28" s="3" t="s">
        <v>53</v>
      </c>
      <c r="E28" s="3" t="s">
        <v>48</v>
      </c>
      <c r="F28" s="3" t="s">
        <v>54</v>
      </c>
      <c r="G28" s="3">
        <v>4</v>
      </c>
      <c r="H28" s="2"/>
      <c r="I28" s="2"/>
      <c r="J28" s="2"/>
      <c r="K28" s="2"/>
      <c r="L28" s="2"/>
      <c r="M28" s="2"/>
      <c r="N28" s="2"/>
      <c r="O28" s="2"/>
      <c r="P28" s="2"/>
      <c r="Q28" s="2"/>
      <c r="R28" s="2"/>
      <c r="S28" s="2"/>
      <c r="T28" s="2"/>
      <c r="U28" s="2"/>
      <c r="V28" s="2"/>
      <c r="W28" s="2"/>
      <c r="X28" s="2"/>
      <c r="Y28" s="2"/>
      <c r="Z28" s="2"/>
    </row>
    <row r="29" spans="1:26" x14ac:dyDescent="0.2">
      <c r="A29" s="3" t="s">
        <v>268</v>
      </c>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1" t="s">
        <v>139</v>
      </c>
      <c r="B31" s="2"/>
      <c r="C31" s="3" t="s">
        <v>116</v>
      </c>
      <c r="D31" s="3" t="s">
        <v>9</v>
      </c>
      <c r="E31" s="3" t="s">
        <v>9</v>
      </c>
      <c r="F31" s="2"/>
      <c r="G31" s="3" t="s">
        <v>18</v>
      </c>
      <c r="H31" s="2"/>
      <c r="I31" s="2"/>
      <c r="J31" s="2"/>
      <c r="K31" s="2"/>
      <c r="L31" s="2"/>
      <c r="M31" s="2"/>
      <c r="N31" s="2"/>
      <c r="O31" s="2"/>
      <c r="P31" s="2"/>
      <c r="Q31" s="2"/>
      <c r="R31" s="2"/>
      <c r="S31" s="2"/>
      <c r="T31" s="2"/>
      <c r="U31" s="2"/>
      <c r="V31" s="2"/>
      <c r="W31" s="2"/>
      <c r="X31" s="2"/>
      <c r="Y31" s="2"/>
      <c r="Z31" s="2"/>
    </row>
    <row r="32" spans="1:26" x14ac:dyDescent="0.2">
      <c r="A32" s="3" t="s">
        <v>117</v>
      </c>
      <c r="B32" s="3" t="s">
        <v>118</v>
      </c>
      <c r="C32" s="3" t="s">
        <v>119</v>
      </c>
      <c r="D32" s="3" t="s">
        <v>120</v>
      </c>
      <c r="E32" s="3" t="s">
        <v>76</v>
      </c>
      <c r="F32" s="24" t="s">
        <v>121</v>
      </c>
      <c r="G32" s="3">
        <v>3</v>
      </c>
      <c r="H32" s="2"/>
      <c r="I32" s="2"/>
      <c r="J32" s="2"/>
      <c r="K32" s="2"/>
      <c r="L32" s="2"/>
      <c r="M32" s="2"/>
      <c r="N32" s="2"/>
      <c r="O32" s="2"/>
      <c r="P32" s="2"/>
      <c r="Q32" s="2"/>
      <c r="R32" s="2"/>
      <c r="S32" s="2"/>
      <c r="T32" s="2"/>
      <c r="U32" s="2"/>
      <c r="V32" s="2"/>
      <c r="W32" s="2"/>
      <c r="X32" s="2"/>
      <c r="Y32" s="2"/>
      <c r="Z32" s="2"/>
    </row>
    <row r="33" spans="1:26" x14ac:dyDescent="0.2">
      <c r="A33" s="3" t="s">
        <v>122</v>
      </c>
      <c r="B33" s="3" t="s">
        <v>99</v>
      </c>
      <c r="C33" s="3" t="s">
        <v>123</v>
      </c>
      <c r="D33" s="3" t="s">
        <v>101</v>
      </c>
      <c r="E33" s="3" t="s">
        <v>25</v>
      </c>
      <c r="F33" s="25" t="s">
        <v>307</v>
      </c>
      <c r="G33" s="3">
        <v>2</v>
      </c>
      <c r="H33" s="2"/>
      <c r="I33" s="2"/>
      <c r="J33" s="2"/>
      <c r="K33" s="2"/>
      <c r="L33" s="2"/>
      <c r="M33" s="2"/>
      <c r="N33" s="2"/>
      <c r="O33" s="2"/>
      <c r="P33" s="2"/>
      <c r="Q33" s="2"/>
      <c r="R33" s="2"/>
      <c r="S33" s="2"/>
      <c r="T33" s="2"/>
      <c r="U33" s="2"/>
      <c r="V33" s="2"/>
      <c r="W33" s="2"/>
      <c r="X33" s="2"/>
      <c r="Y33" s="2"/>
      <c r="Z33" s="2"/>
    </row>
    <row r="34" spans="1:26" x14ac:dyDescent="0.2">
      <c r="A34" s="3" t="s">
        <v>124</v>
      </c>
      <c r="B34" s="3" t="s">
        <v>125</v>
      </c>
      <c r="C34" s="3" t="s">
        <v>126</v>
      </c>
      <c r="D34" s="3" t="s">
        <v>127</v>
      </c>
      <c r="E34" s="3" t="s">
        <v>76</v>
      </c>
      <c r="F34" s="24" t="s">
        <v>121</v>
      </c>
      <c r="G34" s="3">
        <v>4</v>
      </c>
      <c r="H34" s="2"/>
      <c r="I34" s="2"/>
      <c r="J34" s="2"/>
      <c r="K34" s="2"/>
      <c r="L34" s="2"/>
      <c r="M34" s="2"/>
      <c r="N34" s="2"/>
      <c r="O34" s="2"/>
      <c r="P34" s="2"/>
      <c r="Q34" s="2"/>
      <c r="R34" s="2"/>
      <c r="S34" s="2"/>
      <c r="T34" s="2"/>
      <c r="U34" s="2"/>
      <c r="V34" s="2"/>
      <c r="W34" s="2"/>
      <c r="X34" s="2"/>
      <c r="Y34" s="2"/>
      <c r="Z34" s="2"/>
    </row>
    <row r="35" spans="1:26" x14ac:dyDescent="0.2">
      <c r="A35" s="3" t="s">
        <v>132</v>
      </c>
      <c r="B35" s="3" t="s">
        <v>133</v>
      </c>
      <c r="C35" s="3" t="s">
        <v>134</v>
      </c>
      <c r="D35" s="3">
        <v>2020</v>
      </c>
      <c r="E35" s="3" t="s">
        <v>76</v>
      </c>
      <c r="F35" s="25" t="s">
        <v>135</v>
      </c>
      <c r="G35" s="3">
        <v>4</v>
      </c>
      <c r="H35" s="2"/>
      <c r="I35" s="2"/>
      <c r="J35" s="2"/>
      <c r="K35" s="2"/>
      <c r="L35" s="2"/>
      <c r="M35" s="2"/>
      <c r="N35" s="2"/>
      <c r="O35" s="2"/>
      <c r="P35" s="2"/>
      <c r="Q35" s="2"/>
      <c r="R35" s="2"/>
      <c r="S35" s="2"/>
      <c r="T35" s="2"/>
      <c r="U35" s="2"/>
      <c r="V35" s="2"/>
      <c r="W35" s="2"/>
      <c r="X35" s="2"/>
      <c r="Y35" s="2"/>
      <c r="Z35" s="2"/>
    </row>
    <row r="36" spans="1:26" x14ac:dyDescent="0.2">
      <c r="A36" s="3" t="s">
        <v>339</v>
      </c>
      <c r="B36" s="3" t="s">
        <v>340</v>
      </c>
      <c r="C36" s="3" t="s">
        <v>294</v>
      </c>
      <c r="D36" s="3" t="s">
        <v>293</v>
      </c>
      <c r="E36" s="3" t="s">
        <v>76</v>
      </c>
      <c r="F36" s="25" t="s">
        <v>295</v>
      </c>
      <c r="G36" s="3">
        <v>5</v>
      </c>
      <c r="H36" s="2"/>
      <c r="I36" s="2"/>
      <c r="J36" s="2"/>
      <c r="K36" s="2"/>
      <c r="L36" s="2"/>
      <c r="M36" s="2"/>
      <c r="N36" s="2"/>
      <c r="O36" s="2"/>
      <c r="P36" s="2"/>
      <c r="Q36" s="2"/>
      <c r="R36" s="2"/>
      <c r="S36" s="2"/>
      <c r="T36" s="2"/>
      <c r="U36" s="2"/>
      <c r="V36" s="2"/>
      <c r="W36" s="2"/>
      <c r="X36" s="2"/>
      <c r="Y36" s="2"/>
      <c r="Z36" s="2"/>
    </row>
    <row r="37" spans="1:26" x14ac:dyDescent="0.2">
      <c r="A37" s="3" t="s">
        <v>341</v>
      </c>
      <c r="B37" s="3" t="s">
        <v>297</v>
      </c>
      <c r="C37" s="3" t="s">
        <v>282</v>
      </c>
      <c r="D37" s="3" t="s">
        <v>299</v>
      </c>
      <c r="E37" s="3" t="s">
        <v>300</v>
      </c>
      <c r="F37" s="25" t="s">
        <v>298</v>
      </c>
      <c r="G37" s="3">
        <v>3</v>
      </c>
      <c r="H37" s="2"/>
      <c r="I37" s="2"/>
      <c r="J37" s="2"/>
      <c r="K37" s="2"/>
      <c r="L37" s="2"/>
      <c r="M37" s="2"/>
      <c r="N37" s="2"/>
      <c r="O37" s="2"/>
      <c r="P37" s="2"/>
      <c r="Q37" s="2"/>
      <c r="R37" s="2"/>
      <c r="S37" s="2"/>
      <c r="T37" s="2"/>
      <c r="U37" s="2"/>
      <c r="V37" s="2"/>
      <c r="W37" s="2"/>
      <c r="X37" s="2"/>
      <c r="Y37" s="2"/>
      <c r="Z37" s="2"/>
    </row>
    <row r="38" spans="1:26" x14ac:dyDescent="0.2">
      <c r="A38" s="3" t="s">
        <v>342</v>
      </c>
      <c r="B38" s="2" t="s">
        <v>305</v>
      </c>
      <c r="C38" s="3" t="s">
        <v>284</v>
      </c>
      <c r="D38" s="3" t="s">
        <v>306</v>
      </c>
      <c r="E38" s="3" t="s">
        <v>76</v>
      </c>
      <c r="F38" s="25" t="s">
        <v>308</v>
      </c>
      <c r="G38" s="3">
        <v>2</v>
      </c>
      <c r="H38" s="2"/>
      <c r="I38" s="2"/>
      <c r="J38" s="2"/>
      <c r="K38" s="2"/>
      <c r="L38" s="2"/>
      <c r="M38" s="2"/>
      <c r="N38" s="2"/>
      <c r="O38" s="2"/>
      <c r="P38" s="2"/>
      <c r="Q38" s="2"/>
      <c r="R38" s="2"/>
      <c r="S38" s="2"/>
      <c r="T38" s="2"/>
      <c r="U38" s="2"/>
      <c r="V38" s="2"/>
      <c r="W38" s="2"/>
      <c r="X38" s="2"/>
      <c r="Y38" s="2"/>
      <c r="Z38" s="2"/>
    </row>
    <row r="39" spans="1:26" x14ac:dyDescent="0.2">
      <c r="A39" s="3" t="s">
        <v>343</v>
      </c>
      <c r="B39" s="2" t="s">
        <v>273</v>
      </c>
      <c r="C39" s="2" t="s">
        <v>283</v>
      </c>
      <c r="D39" s="2" t="s">
        <v>241</v>
      </c>
      <c r="E39" s="3" t="s">
        <v>16</v>
      </c>
      <c r="F39" s="25" t="s">
        <v>274</v>
      </c>
      <c r="G39" s="3">
        <v>2</v>
      </c>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1" t="s">
        <v>63</v>
      </c>
      <c r="B42" s="2"/>
      <c r="C42" s="1" t="s">
        <v>64</v>
      </c>
      <c r="D42" s="3" t="s">
        <v>9</v>
      </c>
      <c r="E42" s="3" t="s">
        <v>9</v>
      </c>
      <c r="F42" s="2"/>
      <c r="G42" s="3" t="s">
        <v>18</v>
      </c>
      <c r="H42" s="2"/>
      <c r="I42" s="2"/>
      <c r="J42" s="2"/>
      <c r="K42" s="2"/>
      <c r="L42" s="2"/>
      <c r="M42" s="2"/>
      <c r="N42" s="2"/>
      <c r="O42" s="2"/>
      <c r="P42" s="2"/>
      <c r="Q42" s="2"/>
      <c r="R42" s="2"/>
      <c r="S42" s="2"/>
      <c r="T42" s="2"/>
      <c r="U42" s="2"/>
      <c r="V42" s="2"/>
      <c r="W42" s="2"/>
      <c r="X42" s="2"/>
      <c r="Y42" s="2"/>
      <c r="Z42" s="2"/>
    </row>
    <row r="43" spans="1:26" x14ac:dyDescent="0.2">
      <c r="A43" s="1" t="s">
        <v>103</v>
      </c>
      <c r="B43" s="2"/>
      <c r="C43" s="3" t="s">
        <v>104</v>
      </c>
      <c r="D43" s="3" t="s">
        <v>9</v>
      </c>
      <c r="E43" s="3" t="s">
        <v>9</v>
      </c>
      <c r="F43" s="2"/>
      <c r="G43" s="3" t="s">
        <v>18</v>
      </c>
      <c r="H43" s="2"/>
      <c r="I43" s="2"/>
      <c r="J43" s="2"/>
      <c r="K43" s="2"/>
      <c r="L43" s="2"/>
      <c r="M43" s="2"/>
      <c r="N43" s="2"/>
      <c r="O43" s="2"/>
      <c r="P43" s="2"/>
      <c r="Q43" s="2"/>
      <c r="R43" s="2"/>
      <c r="S43" s="2"/>
      <c r="T43" s="2"/>
      <c r="U43" s="2"/>
      <c r="V43" s="2"/>
      <c r="W43" s="2"/>
      <c r="X43" s="2"/>
      <c r="Y43" s="2"/>
      <c r="Z43" s="2"/>
    </row>
    <row r="44" spans="1:26" x14ac:dyDescent="0.2">
      <c r="A44" s="3" t="s">
        <v>105</v>
      </c>
      <c r="B44" s="3" t="s">
        <v>106</v>
      </c>
      <c r="C44" s="3" t="s">
        <v>107</v>
      </c>
      <c r="D44" s="3" t="s">
        <v>108</v>
      </c>
      <c r="E44" s="3" t="s">
        <v>316</v>
      </c>
      <c r="F44" s="2"/>
      <c r="G44" s="3">
        <v>3</v>
      </c>
      <c r="H44" s="2"/>
      <c r="I44" s="2"/>
      <c r="J44" s="2"/>
      <c r="K44" s="2"/>
      <c r="L44" s="2"/>
      <c r="M44" s="2"/>
      <c r="N44" s="2"/>
      <c r="O44" s="2"/>
      <c r="P44" s="2"/>
      <c r="Q44" s="2"/>
      <c r="R44" s="2"/>
      <c r="S44" s="2"/>
      <c r="T44" s="2"/>
      <c r="U44" s="2"/>
      <c r="V44" s="2"/>
      <c r="W44" s="2"/>
      <c r="X44" s="2"/>
      <c r="Y44" s="2"/>
      <c r="Z44" s="2"/>
    </row>
    <row r="45" spans="1:26" x14ac:dyDescent="0.2">
      <c r="A45" s="3" t="s">
        <v>110</v>
      </c>
      <c r="B45" s="3" t="s">
        <v>106</v>
      </c>
      <c r="C45" s="3" t="s">
        <v>111</v>
      </c>
      <c r="D45" s="3" t="s">
        <v>108</v>
      </c>
      <c r="E45" s="3" t="s">
        <v>112</v>
      </c>
      <c r="F45" s="2"/>
      <c r="G45" s="3">
        <v>2</v>
      </c>
      <c r="H45" s="2"/>
      <c r="I45" s="2"/>
      <c r="J45" s="2"/>
      <c r="K45" s="2"/>
      <c r="L45" s="2"/>
      <c r="M45" s="2"/>
      <c r="N45" s="2"/>
      <c r="O45" s="2"/>
      <c r="P45" s="2"/>
      <c r="Q45" s="2"/>
      <c r="R45" s="2"/>
      <c r="S45" s="2"/>
      <c r="T45" s="2"/>
      <c r="U45" s="2"/>
      <c r="V45" s="2"/>
      <c r="W45" s="2"/>
      <c r="X45" s="2"/>
      <c r="Y45" s="2"/>
      <c r="Z45" s="2"/>
    </row>
    <row r="46" spans="1:26" x14ac:dyDescent="0.2">
      <c r="A46" s="3" t="s">
        <v>113</v>
      </c>
      <c r="B46" s="3" t="s">
        <v>106</v>
      </c>
      <c r="C46" s="3" t="s">
        <v>114</v>
      </c>
      <c r="D46" s="3" t="s">
        <v>108</v>
      </c>
      <c r="E46" s="3" t="s">
        <v>115</v>
      </c>
      <c r="F46" s="2"/>
      <c r="G46" s="3">
        <v>4</v>
      </c>
      <c r="H46" s="2"/>
      <c r="I46" s="2"/>
      <c r="J46" s="2"/>
      <c r="K46" s="2"/>
      <c r="L46" s="2"/>
      <c r="M46" s="2"/>
      <c r="N46" s="2"/>
      <c r="O46" s="2"/>
      <c r="P46" s="2"/>
      <c r="Q46" s="2"/>
      <c r="R46" s="2"/>
      <c r="S46" s="2"/>
      <c r="T46" s="2"/>
      <c r="U46" s="2"/>
      <c r="V46" s="2"/>
      <c r="W46" s="2"/>
      <c r="X46" s="2"/>
      <c r="Y46" s="2"/>
      <c r="Z46" s="2"/>
    </row>
    <row r="47" spans="1:26" x14ac:dyDescent="0.2">
      <c r="A47" s="3" t="s">
        <v>344</v>
      </c>
      <c r="B47" s="17" t="s">
        <v>245</v>
      </c>
      <c r="C47" s="3" t="s">
        <v>287</v>
      </c>
      <c r="D47" s="17" t="s">
        <v>246</v>
      </c>
      <c r="E47" s="3" t="s">
        <v>316</v>
      </c>
      <c r="F47" s="25" t="s">
        <v>317</v>
      </c>
      <c r="G47" s="3">
        <v>2</v>
      </c>
      <c r="H47" s="2"/>
      <c r="I47" s="2"/>
      <c r="J47" s="2"/>
      <c r="K47" s="2"/>
      <c r="L47" s="2"/>
      <c r="M47" s="2"/>
      <c r="N47" s="2"/>
      <c r="O47" s="2"/>
      <c r="P47" s="2"/>
      <c r="Q47" s="2"/>
      <c r="R47" s="2"/>
      <c r="S47" s="2"/>
      <c r="T47" s="2"/>
      <c r="U47" s="2"/>
      <c r="V47" s="2"/>
      <c r="W47" s="2"/>
      <c r="X47" s="2"/>
      <c r="Y47" s="2"/>
      <c r="Z47" s="2"/>
    </row>
    <row r="48" spans="1:26" x14ac:dyDescent="0.2">
      <c r="A48" s="3" t="s">
        <v>345</v>
      </c>
      <c r="B48" s="17" t="s">
        <v>310</v>
      </c>
      <c r="C48" s="17" t="s">
        <v>311</v>
      </c>
      <c r="D48" s="17" t="s">
        <v>312</v>
      </c>
      <c r="E48" s="17" t="s">
        <v>76</v>
      </c>
      <c r="F48" s="25" t="s">
        <v>315</v>
      </c>
      <c r="G48" s="3">
        <v>2</v>
      </c>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1" t="s">
        <v>65</v>
      </c>
      <c r="B50" s="2"/>
      <c r="C50" s="3" t="s">
        <v>66</v>
      </c>
      <c r="D50" s="3" t="s">
        <v>9</v>
      </c>
      <c r="E50" s="3" t="s">
        <v>9</v>
      </c>
      <c r="F50" s="2"/>
      <c r="G50" s="3" t="s">
        <v>18</v>
      </c>
      <c r="H50" s="2"/>
      <c r="I50" s="2"/>
      <c r="J50" s="2"/>
      <c r="K50" s="2"/>
      <c r="L50" s="2"/>
      <c r="M50" s="2"/>
      <c r="N50" s="2"/>
      <c r="O50" s="2"/>
      <c r="P50" s="2"/>
      <c r="Q50" s="2"/>
      <c r="R50" s="2"/>
      <c r="S50" s="2"/>
      <c r="T50" s="2"/>
      <c r="U50" s="2"/>
      <c r="V50" s="2"/>
      <c r="W50" s="2"/>
      <c r="X50" s="2"/>
      <c r="Y50" s="2"/>
      <c r="Z50" s="2"/>
    </row>
    <row r="51" spans="1:26" x14ac:dyDescent="0.2">
      <c r="A51" s="3" t="s">
        <v>67</v>
      </c>
      <c r="B51" s="3" t="s">
        <v>68</v>
      </c>
      <c r="C51" s="3" t="s">
        <v>69</v>
      </c>
      <c r="D51" s="3">
        <v>2017</v>
      </c>
      <c r="E51" s="3" t="s">
        <v>70</v>
      </c>
      <c r="F51" s="24" t="s">
        <v>71</v>
      </c>
      <c r="G51" s="3">
        <v>3</v>
      </c>
      <c r="H51" s="2"/>
      <c r="I51" s="2"/>
      <c r="J51" s="2"/>
      <c r="K51" s="2"/>
      <c r="L51" s="2"/>
      <c r="M51" s="2"/>
      <c r="N51" s="2"/>
      <c r="O51" s="2"/>
      <c r="P51" s="2"/>
      <c r="Q51" s="2"/>
      <c r="R51" s="2"/>
      <c r="S51" s="2"/>
      <c r="T51" s="2"/>
      <c r="U51" s="2"/>
      <c r="V51" s="2"/>
      <c r="W51" s="2"/>
      <c r="X51" s="2"/>
      <c r="Y51" s="2"/>
      <c r="Z51" s="2"/>
    </row>
    <row r="52" spans="1:26" x14ac:dyDescent="0.2">
      <c r="A52" s="3" t="s">
        <v>72</v>
      </c>
      <c r="B52" s="3" t="s">
        <v>73</v>
      </c>
      <c r="C52" s="3" t="s">
        <v>74</v>
      </c>
      <c r="D52" s="3" t="s">
        <v>75</v>
      </c>
      <c r="E52" s="3" t="s">
        <v>76</v>
      </c>
      <c r="F52" s="24" t="s">
        <v>77</v>
      </c>
      <c r="G52" s="3">
        <v>4</v>
      </c>
      <c r="H52" s="2"/>
      <c r="I52" s="2"/>
      <c r="J52" s="2"/>
      <c r="K52" s="2"/>
      <c r="L52" s="2"/>
      <c r="M52" s="2"/>
      <c r="N52" s="2"/>
      <c r="O52" s="2"/>
      <c r="P52" s="2"/>
      <c r="Q52" s="2"/>
      <c r="R52" s="2"/>
      <c r="S52" s="2"/>
      <c r="T52" s="2"/>
      <c r="U52" s="2"/>
      <c r="V52" s="2"/>
      <c r="W52" s="2"/>
      <c r="X52" s="2"/>
      <c r="Y52" s="2"/>
      <c r="Z52" s="2"/>
    </row>
    <row r="53" spans="1:26" x14ac:dyDescent="0.2">
      <c r="A53" s="3" t="s">
        <v>78</v>
      </c>
      <c r="B53" s="3" t="s">
        <v>79</v>
      </c>
      <c r="C53" s="3" t="s">
        <v>80</v>
      </c>
      <c r="D53" s="3" t="s">
        <v>81</v>
      </c>
      <c r="E53" s="3" t="s">
        <v>76</v>
      </c>
      <c r="F53" s="24" t="s">
        <v>82</v>
      </c>
      <c r="G53" s="3">
        <v>4</v>
      </c>
      <c r="H53" s="2"/>
      <c r="I53" s="2"/>
      <c r="J53" s="2"/>
      <c r="K53" s="2"/>
      <c r="L53" s="2"/>
      <c r="M53" s="2"/>
      <c r="N53" s="2"/>
      <c r="O53" s="2"/>
      <c r="P53" s="2"/>
      <c r="Q53" s="2"/>
      <c r="R53" s="2"/>
      <c r="S53" s="2"/>
      <c r="T53" s="2"/>
      <c r="U53" s="2"/>
      <c r="V53" s="2"/>
      <c r="W53" s="2"/>
      <c r="X53" s="2"/>
      <c r="Y53" s="2"/>
      <c r="Z53" s="2"/>
    </row>
    <row r="54" spans="1:26" x14ac:dyDescent="0.2">
      <c r="A54" s="3" t="s">
        <v>83</v>
      </c>
      <c r="B54" s="3" t="s">
        <v>84</v>
      </c>
      <c r="C54" s="3" t="s">
        <v>85</v>
      </c>
      <c r="D54" s="3" t="s">
        <v>86</v>
      </c>
      <c r="E54" s="3" t="s">
        <v>76</v>
      </c>
      <c r="F54" s="24" t="s">
        <v>87</v>
      </c>
      <c r="G54" s="3">
        <v>4</v>
      </c>
      <c r="H54" s="2"/>
      <c r="I54" s="2"/>
      <c r="J54" s="2"/>
      <c r="K54" s="2"/>
      <c r="L54" s="2"/>
      <c r="M54" s="2"/>
      <c r="N54" s="2"/>
      <c r="O54" s="2"/>
      <c r="P54" s="2"/>
      <c r="Q54" s="2"/>
      <c r="R54" s="2"/>
      <c r="S54" s="2"/>
      <c r="T54" s="2"/>
      <c r="U54" s="2"/>
      <c r="V54" s="2"/>
      <c r="W54" s="2"/>
      <c r="X54" s="2"/>
      <c r="Y54" s="2"/>
      <c r="Z54" s="2"/>
    </row>
    <row r="55" spans="1:26" x14ac:dyDescent="0.2">
      <c r="A55" s="3" t="s">
        <v>88</v>
      </c>
      <c r="B55" s="3" t="s">
        <v>89</v>
      </c>
      <c r="C55" s="3" t="s">
        <v>90</v>
      </c>
      <c r="D55" s="3" t="s">
        <v>81</v>
      </c>
      <c r="E55" s="3" t="s">
        <v>316</v>
      </c>
      <c r="F55" s="3" t="s">
        <v>92</v>
      </c>
      <c r="G55" s="3">
        <v>3</v>
      </c>
      <c r="H55" s="2"/>
      <c r="I55" s="2"/>
      <c r="J55" s="2"/>
      <c r="K55" s="2"/>
      <c r="L55" s="2"/>
      <c r="M55" s="2"/>
      <c r="N55" s="2"/>
      <c r="O55" s="2"/>
      <c r="P55" s="2"/>
      <c r="Q55" s="2"/>
      <c r="R55" s="2"/>
      <c r="S55" s="2"/>
      <c r="T55" s="2"/>
      <c r="U55" s="2"/>
      <c r="V55" s="2"/>
      <c r="W55" s="2"/>
      <c r="X55" s="2"/>
      <c r="Y55" s="2"/>
      <c r="Z55" s="2"/>
    </row>
    <row r="56" spans="1:26" x14ac:dyDescent="0.2">
      <c r="A56" s="3" t="s">
        <v>93</v>
      </c>
      <c r="B56" s="3" t="s">
        <v>94</v>
      </c>
      <c r="C56" s="3" t="s">
        <v>95</v>
      </c>
      <c r="D56" s="3" t="s">
        <v>96</v>
      </c>
      <c r="E56" s="3" t="s">
        <v>316</v>
      </c>
      <c r="F56" s="24" t="s">
        <v>97</v>
      </c>
      <c r="G56" s="3">
        <v>3</v>
      </c>
      <c r="H56" s="2"/>
      <c r="I56" s="2"/>
      <c r="J56" s="2"/>
      <c r="K56" s="2"/>
      <c r="L56" s="2"/>
      <c r="M56" s="2"/>
      <c r="N56" s="2"/>
      <c r="O56" s="2"/>
      <c r="P56" s="2"/>
      <c r="Q56" s="2"/>
      <c r="R56" s="2"/>
      <c r="S56" s="2"/>
      <c r="T56" s="2"/>
      <c r="U56" s="2"/>
      <c r="V56" s="2"/>
      <c r="W56" s="2"/>
      <c r="X56" s="2"/>
      <c r="Y56" s="2"/>
      <c r="Z56" s="2"/>
    </row>
    <row r="57" spans="1:26" x14ac:dyDescent="0.2">
      <c r="A57" s="3" t="s">
        <v>98</v>
      </c>
      <c r="B57" s="3" t="s">
        <v>99</v>
      </c>
      <c r="C57" s="3" t="s">
        <v>100</v>
      </c>
      <c r="D57" s="3" t="s">
        <v>101</v>
      </c>
      <c r="E57" s="3" t="s">
        <v>25</v>
      </c>
      <c r="F57" s="3" t="s">
        <v>330</v>
      </c>
      <c r="G57" s="3">
        <v>2</v>
      </c>
      <c r="H57" s="2"/>
      <c r="I57" s="2"/>
      <c r="J57" s="2"/>
      <c r="K57" s="2"/>
      <c r="L57" s="2"/>
      <c r="M57" s="2"/>
      <c r="N57" s="2"/>
      <c r="O57" s="2"/>
      <c r="P57" s="2"/>
      <c r="Q57" s="2"/>
      <c r="R57" s="2"/>
      <c r="S57" s="2"/>
      <c r="T57" s="2"/>
      <c r="U57" s="2"/>
      <c r="V57" s="2"/>
      <c r="W57" s="2"/>
      <c r="X57" s="2"/>
      <c r="Y57" s="2"/>
      <c r="Z57" s="2"/>
    </row>
    <row r="58" spans="1:26" x14ac:dyDescent="0.2">
      <c r="A58" s="3" t="s">
        <v>346</v>
      </c>
      <c r="B58" s="3" t="s">
        <v>219</v>
      </c>
      <c r="C58" s="3" t="s">
        <v>347</v>
      </c>
      <c r="D58" s="3" t="s">
        <v>301</v>
      </c>
      <c r="E58" s="3" t="s">
        <v>76</v>
      </c>
      <c r="F58" s="25" t="s">
        <v>302</v>
      </c>
      <c r="G58" s="3">
        <v>4</v>
      </c>
      <c r="H58" s="2"/>
      <c r="I58" s="2"/>
      <c r="J58" s="2"/>
      <c r="K58" s="2"/>
      <c r="L58" s="2"/>
      <c r="M58" s="2"/>
      <c r="N58" s="2"/>
      <c r="O58" s="2"/>
      <c r="P58" s="2"/>
      <c r="Q58" s="2"/>
      <c r="R58" s="2"/>
      <c r="S58" s="2"/>
      <c r="T58" s="2"/>
      <c r="U58" s="2"/>
      <c r="V58" s="2"/>
      <c r="W58" s="2"/>
      <c r="X58" s="2"/>
      <c r="Y58" s="2"/>
      <c r="Z58" s="2"/>
    </row>
    <row r="59" spans="1:26" x14ac:dyDescent="0.2">
      <c r="A59" s="3" t="s">
        <v>349</v>
      </c>
      <c r="B59" s="3" t="s">
        <v>303</v>
      </c>
      <c r="C59" s="3" t="s">
        <v>286</v>
      </c>
      <c r="D59" s="3" t="s">
        <v>236</v>
      </c>
      <c r="E59" s="3" t="s">
        <v>316</v>
      </c>
      <c r="F59" s="24" t="s">
        <v>251</v>
      </c>
      <c r="G59" s="3">
        <v>4</v>
      </c>
      <c r="H59" s="2"/>
      <c r="I59" s="2"/>
      <c r="J59" s="2"/>
      <c r="K59" s="2"/>
      <c r="L59" s="2"/>
      <c r="M59" s="2"/>
      <c r="N59" s="2"/>
      <c r="O59" s="2"/>
      <c r="P59" s="2"/>
      <c r="Q59" s="2"/>
      <c r="R59" s="2"/>
      <c r="S59" s="2"/>
      <c r="T59" s="2"/>
      <c r="U59" s="2"/>
      <c r="V59" s="2"/>
      <c r="W59" s="2"/>
      <c r="X59" s="2"/>
      <c r="Y59" s="2"/>
      <c r="Z59" s="2"/>
    </row>
    <row r="60" spans="1:26" x14ac:dyDescent="0.2">
      <c r="A60" s="3" t="s">
        <v>350</v>
      </c>
      <c r="B60" s="3" t="s">
        <v>303</v>
      </c>
      <c r="C60" s="3" t="s">
        <v>288</v>
      </c>
      <c r="D60" s="3" t="s">
        <v>236</v>
      </c>
      <c r="E60" s="3" t="s">
        <v>316</v>
      </c>
      <c r="F60" s="25" t="s">
        <v>251</v>
      </c>
      <c r="G60" s="3">
        <v>3</v>
      </c>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scoringR1_base</vt:lpstr>
      <vt:lpstr>variables_round1</vt:lpstr>
      <vt:lpstr>variables_round2</vt:lpstr>
      <vt:lpstr>XH1</vt:lpstr>
      <vt:lpstr>KD1</vt:lpstr>
      <vt:lpstr>DG1</vt:lpstr>
      <vt:lpstr>SG1</vt:lpstr>
      <vt:lpstr>CM1</vt:lpstr>
      <vt:lpstr>VS1</vt:lpstr>
      <vt:lpstr>CD1</vt:lpstr>
      <vt:lpstr>scoringR2</vt:lpstr>
      <vt:lpstr>Soil</vt:lpstr>
      <vt:lpstr>Climate</vt:lpstr>
      <vt:lpstr>Crop-field</vt:lpstr>
      <vt:lpstr>Water</vt:lpstr>
      <vt:lpstr>SocioE</vt:lpstr>
      <vt:lpstr>Management</vt:lpstr>
      <vt:lpstr>XH2</vt:lpstr>
      <vt:lpstr>VS2</vt:lpstr>
      <vt:lpstr>SG2</vt:lpstr>
      <vt:lpstr>CM2</vt:lpstr>
      <vt:lpstr>DG2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Viriyaroj Bhattarabhop</dc:creator>
  <cp:lastModifiedBy>Viriyaroj Bhattarabhop</cp:lastModifiedBy>
  <dcterms:created xsi:type="dcterms:W3CDTF">2025-08-01T11:03:20Z</dcterms:created>
  <dcterms:modified xsi:type="dcterms:W3CDTF">2026-05-04T15:48:38Z</dcterms:modified>
</cp:coreProperties>
</file>